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terviews" sheetId="2" state="visible" r:id="rId4"/>
    <sheet name="Data_Monthly" sheetId="3" state="visible" r:id="rId5"/>
    <sheet name="Monthly Trend" sheetId="4" state="visible" r:id="rId6"/>
    <sheet name="By Profile" sheetId="5" state="visible" r:id="rId7"/>
    <sheet name="Weekly Trend" sheetId="6" state="visible" r:id="rId8"/>
    <sheet name="Wins by Close Date" sheetId="7" state="visible" r:id="rId9"/>
    <sheet name="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Per-day change: Aug–Oct total ÷ 81 days vs Jan–Jul total ÷ 212 days.</t>
        </r>
      </text>
    </comment>
    <comment ref="D7" authorId="0">
      <text>
        <r>
          <rPr>
            <sz val="10"/>
            <rFont val="Arial"/>
            <family val="2"/>
          </rPr>
          <t xml:space="preserve">Per-day change: Aug–Oct total ÷ 81 days vs Jan–Jul total ÷ 212 days.</t>
        </r>
      </text>
    </comment>
    <comment ref="D8" authorId="0">
      <text>
        <r>
          <rPr>
            <sz val="10"/>
            <rFont val="Arial"/>
            <family val="2"/>
          </rPr>
          <t xml:space="preserve">Per-day change: Aug–Oct total ÷ 81 days vs Jan–Jul total ÷ 212 days.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Blank = stage never set in Notion. 14 of 25 interviews have no stage.</t>
        </r>
      </text>
    </comment>
    <comment ref="H11" authorId="0">
      <text>
        <r>
          <rPr>
            <sz val="10"/>
            <rFont val="Arial"/>
            <family val="2"/>
          </rPr>
          <t xml:space="preserve">Interview record was created on 20 Oct when the bid was back-filled, so Notion shows 20 Oct. Real date unknown; left blank here.</t>
        </r>
      </text>
    </comment>
    <comment ref="J1" authorId="0">
      <text>
        <r>
          <rPr>
            <sz val="10"/>
            <rFont val="Arial"/>
            <family val="2"/>
          </rPr>
          <t xml:space="preserve">Interview Started minus Bid Date. Michael Wong (53 days) is a late re-engagement.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4" authorId="0">
      <text>
        <r>
          <rPr>
            <sz val="10"/>
            <rFont val="Arial"/>
            <family val="2"/>
          </rPr>
          <t xml:space="preserve">Oct counted to 20 Oct (date of pull).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1" authorId="0">
      <text>
        <r>
          <rPr>
            <sz val="10"/>
            <rFont val="Arial"/>
            <family val="2"/>
          </rPr>
          <t xml:space="preserve">Every Nstya bid in the period is an interview (checked in Notion), so the Interviews tab holds all of them.</t>
        </r>
      </text>
    </comment>
    <comment ref="B22" authorId="0">
      <text>
        <r>
          <rPr>
            <sz val="10"/>
            <rFont val="Arial"/>
            <family val="2"/>
          </rPr>
          <t xml:space="preserve">Every INVITE bid in the period is an interview (checked in Notion), so the Interviews tab holds all of them.</t>
        </r>
      </text>
    </comment>
    <comment ref="D9" authorId="0">
      <text>
        <r>
          <rPr>
            <sz val="10"/>
            <rFont val="Arial"/>
            <family val="2"/>
          </rPr>
          <t xml:space="preserve">Sum of the four profiles. Must equal Interviews!D total.</t>
        </r>
      </text>
    </comment>
    <comment ref="L9" authorId="0">
      <text>
        <r>
          <rPr>
            <sz val="10"/>
            <rFont val="Arial"/>
            <family val="2"/>
          </rPr>
          <t xml:space="preserve">Jan–Jul also includes Nastya profile (96 bids) and 3 bids with no profile, not shown in rows above.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John Brown is Won in Notion but has no Date Won. Add it in Upwork Bids to place this win.</t>
        </r>
      </text>
    </comment>
  </commentList>
</comments>
</file>

<file path=xl/sharedStrings.xml><?xml version="1.0" encoding="utf-8"?>
<sst xmlns="http://schemas.openxmlformats.org/spreadsheetml/2006/main" count="530" uniqueCount="246">
  <si>
    <t xml:space="preserve">Upwork bid funnel, 1 Aug – 20 Oct 2026</t>
  </si>
  <si>
    <t xml:space="preserve">Built from Notion: Upwork Bids + Interviews. All numbers below are formulas over the other tabs.</t>
  </si>
  <si>
    <t xml:space="preserve">Metric</t>
  </si>
  <si>
    <t xml:space="preserve">Aug–Oct</t>
  </si>
  <si>
    <t xml:space="preserve">Jan–Jul baseline</t>
  </si>
  <si>
    <t xml:space="preserve">Change</t>
  </si>
  <si>
    <t xml:space="preserve">What it means</t>
  </si>
  <si>
    <t xml:space="preserve">Bids sent</t>
  </si>
  <si>
    <t xml:space="preserve">Volume is down about 40% per day: 5.9 bids a day vs 9.9 in Jan–Jul.</t>
  </si>
  <si>
    <t xml:space="preserve">Bids per day</t>
  </si>
  <si>
    <t xml:space="preserve">Interviews</t>
  </si>
  <si>
    <t xml:space="preserve">Won</t>
  </si>
  <si>
    <t xml:space="preserve">3 wins from bids sent since 1 Aug: Selva Ganesan and Miss Money Savvy (Polina), Marc Staal (Shevk). 4 contracts closed in the period (see Wins by Close Date).</t>
  </si>
  <si>
    <t xml:space="preserve">Bid → Interview</t>
  </si>
  <si>
    <t xml:space="preserve">5.2%, flat every month (5.3%, 5.6%, 4.5%). That matches Mar–Jul (5.3%). The Jan–Jul average is lifted by Jan–Feb (10–14%).</t>
  </si>
  <si>
    <t xml:space="preserve">Bid → Won</t>
  </si>
  <si>
    <t xml:space="preserve">Down from 1.2% (1 in 84 bids) to 0.6% (1 in 161). Mar–Jul was 1.0%.</t>
  </si>
  <si>
    <t xml:space="preserve">Interview → Won</t>
  </si>
  <si>
    <t xml:space="preserve">3 of 25 (12%) vs 16% in Jan–Jul and 19% in Mar–Jul. 14 of 25 interviews have no stage and none has a Lost reason.</t>
  </si>
  <si>
    <t xml:space="preserve">Organic Bid → Interview (Alex + Nstya)</t>
  </si>
  <si>
    <t xml:space="preserve">Excludes 1 INVITE (client invitation).</t>
  </si>
  <si>
    <t xml:space="preserve">Contracts closed in Aug–Oct (by Date Won)</t>
  </si>
  <si>
    <t xml:space="preserve">Ben Jacoby, Selva Ganesan, Miss Money Savvy, Marc Staal. 3 of the 4 came through Nstya.</t>
  </si>
  <si>
    <t xml:space="preserve">Avg days from bid to interview</t>
  </si>
  <si>
    <t xml:space="preserve">Upwork profiles (Aug–Oct)</t>
  </si>
  <si>
    <t xml:space="preserve">Profile</t>
  </si>
  <si>
    <t xml:space="preserve">Bids</t>
  </si>
  <si>
    <t xml:space="preserve">Organic Bid → Interview</t>
  </si>
  <si>
    <t xml:space="preserve">Most bids</t>
  </si>
  <si>
    <t xml:space="preserve">Best organic Bid → Interview</t>
  </si>
  <si>
    <t xml:space="preserve">Findings</t>
  </si>
  <si>
    <t xml:space="preserve">1. Yulia carries the bid volume. She sends 60% of bids (288) and gets 19 of 25 interviews (6.6%, 6.3% organic), the best interview rate of any profile. That's down from 8.2% in Jan–Jul, and none of her Aug–Oct bids has closed yet.</t>
  </si>
  <si>
    <t xml:space="preserve">2. Polina converts best to contracts. 105 bids, 4 interviews (3.8%), 2 wins (Selva Ganesan and Miss Money Savvy): 1.9% Bid → Won and 50% Interview → Won.</t>
  </si>
  <si>
    <t xml:space="preserve">3. Shevk (48 bids) and Andrew (41 bids) get 1 interview each. Shevk's one interview, Marc Staal, came through Nstya and closed (2.1% Bid → Won on one deal). Andrew's Jan–Jul rate was 8.6%.</t>
  </si>
  <si>
    <t xml:space="preserve">4. Nstya's leads close. All 5 of her bids since 1 Aug became interviews and 2 closed. She also sourced 3 of the 4 contracts that closed in Aug–Oct, plus John Brown. Alex's 476 bids gave 19 interviews (4.0%) and 1 win.</t>
  </si>
  <si>
    <t xml:space="preserve">5. Bid → Interview matches Mar–Jul (5.2% vs 5.3%). The drop is after the interview: Interview → Won is 12% vs 19% in Mar–Jul, and Alex-sourced interviews closed 1 of 19.</t>
  </si>
  <si>
    <t xml:space="preserve">6. Full weeks hold at 34–51 bids. Interviews come in bursts: 4 in the week of 17 Aug, 5 in the week of 28 Sep, none in the weeks of 24 Aug and 5 Oct.</t>
  </si>
  <si>
    <t xml:space="preserve">7. Data gaps. 14 of 25 interviews have no Interview Stage and none has a Lost reason. 8 are still open (Waiting / Estimation). John Brown has no Date Won.</t>
  </si>
  <si>
    <t xml:space="preserve">Bid Date</t>
  </si>
  <si>
    <t xml:space="preserve">Upwork Profile</t>
  </si>
  <si>
    <t xml:space="preserve">Leadgen</t>
  </si>
  <si>
    <t xml:space="preserve">Client</t>
  </si>
  <si>
    <t xml:space="preserve">Job Title</t>
  </si>
  <si>
    <t xml:space="preserve">Bid Status (Upwork Bids)</t>
  </si>
  <si>
    <t xml:space="preserve">Interview Stage (Interviews)</t>
  </si>
  <si>
    <t xml:space="preserve">Interview Started</t>
  </si>
  <si>
    <t xml:space="preserve">Won (1/0)</t>
  </si>
  <si>
    <t xml:space="preserve">Days bid → interview</t>
  </si>
  <si>
    <t xml:space="preserve">Bid page</t>
  </si>
  <si>
    <t xml:space="preserve">Interview page</t>
  </si>
  <si>
    <t xml:space="preserve">Date Won</t>
  </si>
  <si>
    <t xml:space="preserve">Yulia</t>
  </si>
  <si>
    <t xml:space="preserve">Alex</t>
  </si>
  <si>
    <t xml:space="preserve">Mark Lawrance</t>
  </si>
  <si>
    <t xml:space="preserve">WordPress Website for Osteopathy Clinic</t>
  </si>
  <si>
    <t xml:space="preserve">Interview</t>
  </si>
  <si>
    <t xml:space="preserve">https://app.notion.com/p/3aebd8b60a6380ffae17f7a8640b3a9f</t>
  </si>
  <si>
    <t xml:space="preserve">https://app.notion.com/p/3babd8b60a6381d7a9fadb59a24e4ab4</t>
  </si>
  <si>
    <t xml:space="preserve">INVITE</t>
  </si>
  <si>
    <t xml:space="preserve">Nila Artika</t>
  </si>
  <si>
    <t xml:space="preserve">Front-End Web Developer (Hubspot Automations Skills is a Bonus)</t>
  </si>
  <si>
    <t xml:space="preserve">https://app.notion.com/p/3b1bd8b60a6380fe8972fba06776352c</t>
  </si>
  <si>
    <t xml:space="preserve">https://app.notion.com/p/3b1bd8b60a6381d5b12bef45d16ee5c7</t>
  </si>
  <si>
    <t xml:space="preserve">Osasu Sule</t>
  </si>
  <si>
    <t xml:space="preserve">Coming Soon Website Designer Needed</t>
  </si>
  <si>
    <t xml:space="preserve">https://app.notion.com/p/3b6bd8b60a6380c3a9d4cd6fc4e0d4ba</t>
  </si>
  <si>
    <t xml:space="preserve">https://app.notion.com/p/3b8bd8b60a6381939f0cd23fb0bc08cf</t>
  </si>
  <si>
    <t xml:space="preserve">Kevin Brennan</t>
  </si>
  <si>
    <t xml:space="preserve">Simple Website for Executive Coaching</t>
  </si>
  <si>
    <t xml:space="preserve">https://app.notion.com/p/3b6bd8b60a6380b58dffcf1fb2048c16</t>
  </si>
  <si>
    <t xml:space="preserve">https://app.notion.com/p/3babd8b60a638162859ceafb39eec6ef</t>
  </si>
  <si>
    <t xml:space="preserve">Omer Atli</t>
  </si>
  <si>
    <t xml:space="preserve">Senior Web &amp; UI/UX Designer for Healthcare AI Company</t>
  </si>
  <si>
    <t xml:space="preserve">https://app.notion.com/p/3bcbd8b60a638036999afddb9f2997df</t>
  </si>
  <si>
    <t xml:space="preserve">https://app.notion.com/p/3bcbd8b60a63815abc31ccd14e852a23</t>
  </si>
  <si>
    <t xml:space="preserve">Lillian Bess</t>
  </si>
  <si>
    <t xml:space="preserve">Website Designer - Word Press</t>
  </si>
  <si>
    <t xml:space="preserve">https://app.notion.com/p/3bfbd8b60a638059bc48fcfbfe32712d</t>
  </si>
  <si>
    <t xml:space="preserve">https://app.notion.com/p/3bfbd8b60a638121bb3ef3c819d9a781</t>
  </si>
  <si>
    <t xml:space="preserve">Nstya</t>
  </si>
  <si>
    <t xml:space="preserve">Michael Wong Loi Sing</t>
  </si>
  <si>
    <t xml:space="preserve">WordPress Elementor Pro Website Design</t>
  </si>
  <si>
    <t xml:space="preserve">Waiting for Response</t>
  </si>
  <si>
    <t xml:space="preserve">https://app.notion.com/p/3f4bd8b60a6380979690d118872c5fe7</t>
  </si>
  <si>
    <t xml:space="preserve">https://app.notion.com/p/3f4bd8b60a6381d99b8ce80422adedf3</t>
  </si>
  <si>
    <t xml:space="preserve">Liu Yin</t>
  </si>
  <si>
    <t xml:space="preserve">Redesign &amp; Relaunch Wordpress Website</t>
  </si>
  <si>
    <t xml:space="preserve">https://app.notion.com/p/3c1bd8b60a6380e68ff5e16d9dc90a05</t>
  </si>
  <si>
    <t xml:space="preserve">https://app.notion.com/p/3c3bd8b60a6381c485e8f231672ce4c5</t>
  </si>
  <si>
    <t xml:space="preserve">Roxana Siman</t>
  </si>
  <si>
    <t xml:space="preserve">Creative Web Designer &amp; Developer for Marketing Agency Website</t>
  </si>
  <si>
    <t xml:space="preserve">https://app.notion.com/p/3c5bd8b60a6380f9beffec7f6ebf7bcc</t>
  </si>
  <si>
    <t xml:space="preserve">https://app.notion.com/p/3c9bd8b60a6381bcb17ee7bea7f0dbd1</t>
  </si>
  <si>
    <t xml:space="preserve">Polina</t>
  </si>
  <si>
    <t xml:space="preserve">Miss Money Savvy</t>
  </si>
  <si>
    <t xml:space="preserve">WordPress Designer &amp; Developer – UK Consumer Brand Website Redesign &amp; Rebuild</t>
  </si>
  <si>
    <t xml:space="preserve">Interview, Won</t>
  </si>
  <si>
    <t xml:space="preserve">https://app.notion.com/p/3ffbd8b60a638145bda3f714ba95b244</t>
  </si>
  <si>
    <t xml:space="preserve">https://app.notion.com/p/3ffbd8b60a6381b08276f6ac45a7b9f9</t>
  </si>
  <si>
    <t xml:space="preserve">Selva Ganesan</t>
  </si>
  <si>
    <t xml:space="preserve">Figma Designer for Website Visuals</t>
  </si>
  <si>
    <t xml:space="preserve">https://app.notion.com/p/3d1bd8b60a6380f8b80af7ded3b1d693</t>
  </si>
  <si>
    <t xml:space="preserve">https://app.notion.com/p/3d3bd8b60a63812c9b83c241d0759778</t>
  </si>
  <si>
    <t xml:space="preserve">Kevin Marcum</t>
  </si>
  <si>
    <t xml:space="preserve">GeneratePress Premium + GenerateBlocks Developer for Custom WordPress Landing Page</t>
  </si>
  <si>
    <t xml:space="preserve">https://app.notion.com/p/3d2bd8b60a6380239fbbf2e5caf3535b</t>
  </si>
  <si>
    <t xml:space="preserve">https://app.notion.com/p/3d3bd8b60a6381b88a86eeb3ed090c66</t>
  </si>
  <si>
    <t xml:space="preserve">Alex Andrei</t>
  </si>
  <si>
    <t xml:space="preserve">Amazing UI / UX Designer</t>
  </si>
  <si>
    <t xml:space="preserve">https://app.notion.com/p/3d7bd8b60a6380d09a13c7ea99f5c73d</t>
  </si>
  <si>
    <t xml:space="preserve">https://app.notion.com/p/3ddbd8b60a638178b0c7e3683708efe0</t>
  </si>
  <si>
    <t xml:space="preserve">Edward Horrocks</t>
  </si>
  <si>
    <t xml:space="preserve">Website Developer to Build Site from Figma Design</t>
  </si>
  <si>
    <t xml:space="preserve">https://app.notion.com/p/3dcbd8b60a6380e2b52cf7954feedfe4</t>
  </si>
  <si>
    <t xml:space="preserve">https://app.notion.com/p/3ddbd8b60a6381baa7b1f0a2af8af605</t>
  </si>
  <si>
    <t xml:space="preserve">Darian James</t>
  </si>
  <si>
    <t xml:space="preserve">Premium Website &amp; Brand Design for Executive Transportation Company (Homepage First)</t>
  </si>
  <si>
    <t xml:space="preserve">https://app.notion.com/p/3ddbd8b60a6380b3ac7afeb14ac92545</t>
  </si>
  <si>
    <t xml:space="preserve">https://app.notion.com/p/3dfbd8b60a638185ab0cec5a8d146a51</t>
  </si>
  <si>
    <t xml:space="preserve">Luke Stajkovic</t>
  </si>
  <si>
    <t xml:space="preserve">WordPress / Elementor Designer &amp; Developer for a Personal Brand Website</t>
  </si>
  <si>
    <t xml:space="preserve">https://app.notion.com/p/3e2bd8b60a6380dd8ae2d1f13da0c938</t>
  </si>
  <si>
    <t xml:space="preserve">https://app.notion.com/p/3e2bd8b60a63819d908fe4dfdd23e43a</t>
  </si>
  <si>
    <t xml:space="preserve">Tiina Luck</t>
  </si>
  <si>
    <t xml:space="preserve">Figma web designer for ongoing agency work</t>
  </si>
  <si>
    <t xml:space="preserve">https://app.notion.com/p/3e6bd8b60a63805f9b19cbdf75e9db07</t>
  </si>
  <si>
    <t xml:space="preserve">https://app.notion.com/p/3edbd8b60a6381beaaefdda254fc9bdd</t>
  </si>
  <si>
    <t xml:space="preserve">Nicea Murray</t>
  </si>
  <si>
    <t xml:space="preserve">Digital Partner / WordPress Website Designer &amp; Developer – K–5 Education</t>
  </si>
  <si>
    <t xml:space="preserve">Disqualified</t>
  </si>
  <si>
    <t xml:space="preserve">https://app.notion.com/p/3ebbd8b60a63806baf49fc5adfddb1f7</t>
  </si>
  <si>
    <t xml:space="preserve">https://app.notion.com/p/3ebbd8b60a6381d8b49ae30dfc77e68f</t>
  </si>
  <si>
    <t xml:space="preserve">Mill Creek</t>
  </si>
  <si>
    <t xml:space="preserve">WordPress Website Rebuild with Elementor Pro</t>
  </si>
  <si>
    <t xml:space="preserve">https://app.notion.com/p/3ebbd8b60a63809a96abd3aef15d0a3a</t>
  </si>
  <si>
    <t xml:space="preserve">https://app.notion.com/p/3edbd8b60a638155a8bbc9626f125089</t>
  </si>
  <si>
    <t xml:space="preserve">Derrick Clayton</t>
  </si>
  <si>
    <t xml:space="preserve">Senior Web Designer &amp; Developer for Premium Consumer Brand Landing Page</t>
  </si>
  <si>
    <t xml:space="preserve">https://app.notion.com/p/3edbd8b60a6380be9060ed914eb29833</t>
  </si>
  <si>
    <t xml:space="preserve">https://app.notion.com/p/3edbd8b60a63819291d2cda5658a5b85</t>
  </si>
  <si>
    <t xml:space="preserve">Michael Joseph</t>
  </si>
  <si>
    <t xml:space="preserve">Experienced Web Designer/Developer Needed for Two Professional Websites</t>
  </si>
  <si>
    <t xml:space="preserve">https://app.notion.com/p/3efbd8b60a638082810dc2c800331cd9</t>
  </si>
  <si>
    <t xml:space="preserve">https://app.notion.com/p/3f1bd8b60a638190b44fd0aa570788e3</t>
  </si>
  <si>
    <t xml:space="preserve">Andrew</t>
  </si>
  <si>
    <t xml:space="preserve">Matt Charles</t>
  </si>
  <si>
    <t xml:space="preserve">Website Designer for a Luxury B2B Brand — Full-Stack, Member Portal Experience</t>
  </si>
  <si>
    <t xml:space="preserve">https://app.notion.com/p/3efbd8b60a6380c89a41ed9957e880d0</t>
  </si>
  <si>
    <t xml:space="preserve">https://app.notion.com/p/3efbd8b60a638180a8fdceec5de0cf41</t>
  </si>
  <si>
    <t xml:space="preserve">Shevk</t>
  </si>
  <si>
    <t xml:space="preserve">Marc Staal</t>
  </si>
  <si>
    <t xml:space="preserve">Wordpress developer for a start-up</t>
  </si>
  <si>
    <t xml:space="preserve">https://app.notion.com/p/3f7bd8b60a638005ac71ff3702d1cc69</t>
  </si>
  <si>
    <t xml:space="preserve">https://app.notion.com/p/3f7bd8b60a6381a98a0beffc50495ba7</t>
  </si>
  <si>
    <t xml:space="preserve">Anish Bhalsod</t>
  </si>
  <si>
    <t xml:space="preserve">UI/UX + Graphic Designer</t>
  </si>
  <si>
    <t xml:space="preserve">Estimation</t>
  </si>
  <si>
    <t xml:space="preserve">https://app.notion.com/p/3fbbd8b60a6380cfa966da65cf868718</t>
  </si>
  <si>
    <t xml:space="preserve">https://app.notion.com/p/3fcbd8b60a63818fb584f73da73ebad6</t>
  </si>
  <si>
    <t xml:space="preserve">Alexandra Gavilano</t>
  </si>
  <si>
    <t xml:space="preserve">Webdesign for decolonial solidarity work</t>
  </si>
  <si>
    <t xml:space="preserve">https://app.notion.com/p/3febd8b60a63802fa6f7e12a6dba6554</t>
  </si>
  <si>
    <t xml:space="preserve">https://app.notion.com/p/3febd8b60a6381deb4bef9ab2288aa08</t>
  </si>
  <si>
    <t xml:space="preserve">Total</t>
  </si>
  <si>
    <t xml:space="preserve">Source: Notion Upwork Bids (Status = Interview, Bid Date ≥ 2026-08-01) joined to Interviews via "Related Bid". Pulled 2026-10-20. Blue = values copied from Notion. Won = Bid Status contains "Won" OR Interview Stage = "Won".</t>
  </si>
  <si>
    <t xml:space="preserve">Month start</t>
  </si>
  <si>
    <t xml:space="preserve">Month</t>
  </si>
  <si>
    <t xml:space="preserve">Period</t>
  </si>
  <si>
    <t xml:space="preserve">2026-01</t>
  </si>
  <si>
    <t xml:space="preserve">Baseline Jan–Jul</t>
  </si>
  <si>
    <t xml:space="preserve">Nastya</t>
  </si>
  <si>
    <t xml:space="preserve">(none)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</si>
  <si>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</si>
  <si>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</si>
  <si>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</si>
  <si>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</si>
  <si>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</si>
  <si>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</si>
  <si>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</si>
  <si>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</si>
  <si>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</si>
  <si>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Source: Notion Upwork Bids grouped by Bid Date month and Upwork Profile, pulled 2026-10-20. Blue = copied from Notion. Jan–Jul Interviews/Won come from the Bids "Status" field only. Aug–Oct Interviews/Won are counted live from the Interviews tab (adds Interview Stage = Won).</t>
  </si>
  <si>
    <t xml:space="preserve">Monthly funnel, Jan–Oct 2026 (focus: Aug–Oct)</t>
  </si>
  <si>
    <t xml:space="preserve">Oct is partial (1–20 Oct). Interviews counted by the month the bid was sent.</t>
  </si>
  <si>
    <t xml:space="preserve">Days counted</t>
  </si>
  <si>
    <t xml:space="preserve">Aug–Oct (period)</t>
  </si>
  <si>
    <t xml:space="preserve">Mar–Jul (excl. Jan–Feb peak)</t>
  </si>
  <si>
    <t xml:space="preserve">Change, period vs baseline</t>
  </si>
  <si>
    <t xml:space="preserve">pts / bids per day</t>
  </si>
  <si>
    <t xml:space="preserve">Upwork profile performance, 1 Aug – 20 Oct 2026</t>
  </si>
  <si>
    <t xml:space="preserve">"Organic" = Leadgen Alex or Nstya. INVITE (client invitations) is excluded because we did not bid cold.</t>
  </si>
  <si>
    <t xml:space="preserve">Share of bids</t>
  </si>
  <si>
    <t xml:space="preserve">Organic bids (Alex + Nstya)</t>
  </si>
  <si>
    <t xml:space="preserve">Organic interviews</t>
  </si>
  <si>
    <t xml:space="preserve">Bids Jan–Jul</t>
  </si>
  <si>
    <t xml:space="preserve">Interviews Jan–Jul</t>
  </si>
  <si>
    <t xml:space="preserve">Bid → Interview Jan–Jul</t>
  </si>
  <si>
    <t xml:space="preserve">Change vs Jan–Jul</t>
  </si>
  <si>
    <t xml:space="preserve">Rank by organic Bid → Interview</t>
  </si>
  <si>
    <t xml:space="preserve">Check: interviews in Interviews tab</t>
  </si>
  <si>
    <t xml:space="preserve">Check: INVITE bids in period (all are interviews, per Notion query)</t>
  </si>
  <si>
    <t xml:space="preserve">bids</t>
  </si>
  <si>
    <t xml:space="preserve">Best Bid → Won</t>
  </si>
  <si>
    <t xml:space="preserve">3 wins in the cohort (Polina 2, Shevk 1); too few to rank reliably</t>
  </si>
  <si>
    <t xml:space="preserve">By Leadgen (Aug–Oct bids)</t>
  </si>
  <si>
    <t xml:space="preserve">All 5 Nstya bids since 1 Aug became interviews, so her Bid → Interview reads 100%.</t>
  </si>
  <si>
    <t xml:space="preserve">Weekly funnel (weeks start Monday; first week counts 1–2 Aug only, last week counts 19–20 Oct)</t>
  </si>
  <si>
    <t xml:space="preserve">Week start</t>
  </si>
  <si>
    <t xml:space="preserve">Andrew bids</t>
  </si>
  <si>
    <t xml:space="preserve">Polina bids</t>
  </si>
  <si>
    <t xml:space="preserve">Shevk bids</t>
  </si>
  <si>
    <t xml:space="preserve">Yulia bids</t>
  </si>
  <si>
    <t xml:space="preserve">Total bids</t>
  </si>
  <si>
    <t xml:space="preserve">Rolling 4-wk Bid → Interview</t>
  </si>
  <si>
    <t xml:space="preserve">Yulia interviews</t>
  </si>
  <si>
    <t xml:space="preserve">Other profiles interviews</t>
  </si>
  <si>
    <t xml:space="preserve">Check vs By Profile bids</t>
  </si>
  <si>
    <t xml:space="preserve">Source: Notion Upwork Bids grouped by week of Bid Date and Upwork Profile, pulled 2026-10-20 (blue). Interviews / Won count live from the Interviews tab.</t>
  </si>
  <si>
    <t xml:space="preserve">Contracts won by the date they closed</t>
  </si>
  <si>
    <t xml:space="preserve">Includes wins from bids sent before 1 Aug. Source: Notion Upwork Bids + Interviews after the 20 Oct fixes (blue).</t>
  </si>
  <si>
    <t xml:space="preserve">Days bid → won</t>
  </si>
  <si>
    <t xml:space="preserve">Closed in Aug–Oct (1/0)</t>
  </si>
  <si>
    <t xml:space="preserve">Ben Jacoby</t>
  </si>
  <si>
    <t xml:space="preserve">WordPress/ WooCommerce- ACF master</t>
  </si>
  <si>
    <t xml:space="preserve">John Brown</t>
  </si>
  <si>
    <t xml:space="preserve">WordPress Designer/Developer for Flight School Website</t>
  </si>
  <si>
    <t xml:space="preserve">Closed Aug–Oct</t>
  </si>
  <si>
    <t xml:space="preserve">…of which Leadgen Nstya</t>
  </si>
  <si>
    <t xml:space="preserve">Avg days bid → won</t>
  </si>
  <si>
    <t xml:space="preserve">Definitions</t>
  </si>
  <si>
    <t xml:space="preserve">Bid → Interview = interviews ÷ bids sent in the same period, counted by Bid Date (cohort view).</t>
  </si>
  <si>
    <t xml:space="preserve">Bid → Won = won ÷ bids. Interview → Won = won ÷ interviews.</t>
  </si>
  <si>
    <t xml:space="preserve">Interview = Upwork Bids Status contains "Interview". All 25 since 1 Aug have a matching Interviews record.</t>
  </si>
  <si>
    <t xml:space="preserve">Won = Bids Status contains "Won" OR Interviews Stage = "Won". Statuses were corrected in Notion on 20 Oct (Selva Ganesan, Marc Staal, Miss Money Savvy). Jan–Jul wins come from Bids Status only.</t>
  </si>
  <si>
    <t xml:space="preserve">Organic = Leadgen Alex or Nstya. INVITE (1 bid, a client invitation) is excluded. All 5 Nstya bids since 1 Aug are interviews.</t>
  </si>
  <si>
    <t xml:space="preserve">Recent wins outside the cohort (bid sent before 1 Aug)</t>
  </si>
  <si>
    <t xml:space="preserve">Ben Jacoby (Yulia / Nstya, bid 24 Jul, won 5 Aug) and John Brown (Yulia / Nstya, bid 8 Jul, no Date Won). Their bids count in July. The Wins by Close Date tab shows them by close date.</t>
  </si>
  <si>
    <t xml:space="preserve">Data issues to fix in Notion</t>
  </si>
  <si>
    <t xml:space="preserve">1. Fixed 20 Oct: Selva Ganesan and Marc Staal set to Won with Date Won. Ben Jacoby Date Won corrected to 5 Aug. John Brown Leadgen set to Nstya. Miss Money Savvy bid and Interview added (bid date 3 Sep assumed from the job page).</t>
  </si>
  <si>
    <t xml:space="preserve">2. Miss Money Savvy Interview Started reads 20 Oct (record created then). Set the real date.</t>
  </si>
  <si>
    <t xml:space="preserve">3. 14 of 25 interviews have no Interview Stage. None has a Lost reason.</t>
  </si>
  <si>
    <t xml:space="preserve">4. John Brown has no Date Won.</t>
  </si>
  <si>
    <t xml:space="preserve">5. A duplicate "WordPress/ WooCommerce- ACF master" bid row (24 Jul, no status) is still in Upwork Bids. It counts as one extra July bid.</t>
  </si>
  <si>
    <t xml:space="preserve">6. "Kevin Marcum" interview page is titled with the job name.</t>
  </si>
  <si>
    <t xml:space="preserve">Colour key: blue text = values copied from Notion (edit these to update), black = formulas.</t>
  </si>
  <si>
    <t xml:space="preserve">Source pulled 2026-10-20 from Notion collections Upwork Bids (2bdbd8b6-0a63-8122-822b-000be14dd371) and Interviews (fd213f62-e364-4257-9ebd-67edd75e1e21).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</si>
</sst>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-#,##0;\-"/>
    <numFmt numFmtId="166" formatCode="\+0%;\-0%;0%"/>
    <numFmt numFmtId="167" formatCode="0.0"/>
    <numFmt numFmtId="168" formatCode="\+0.0;\-0.0;0.0"/>
    <numFmt numFmtId="169" formatCode="0.0%;\-0.0%;\-"/>
    <numFmt numFmtId="170" formatCode="\+0.0%;\-0.0%;0.0%"/>
    <numFmt numFmtId="171" formatCode="yyyy\-mm\-dd"/>
    <numFmt numFmtId="172" formatCode="General"/>
    <numFmt numFmtId="173" formatCode="0%"/>
    <numFmt numFmtId="174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Bid → Interview rate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Trend'!F4</c:f>
              <c:strCache>
                <c:ptCount val="1"/>
                <c:pt idx="0">
                  <c:v>Bid → Interview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Trend'!$B$5:$B$14</c:f>
              <c:strCache>
                <c:ptCount val="1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</c:strCache>
            </c:strRef>
          </c:cat>
          <c:val>
            <c:numRef>
              <c:f>'Monthly Trend'!$F$5:$F$14</c:f>
              <c:numCache>
                <c:formatCode>0.0%;\-0.0%;\-</c:formatCode>
                <c:ptCount val="10"/>
                <c:pt idx="0">
                  <c:v>0.104477611940299</c:v>
                </c:pt>
                <c:pt idx="1">
                  <c:v>0.136871508379888</c:v>
                </c:pt>
                <c:pt idx="2">
                  <c:v>0.05</c:v>
                </c:pt>
                <c:pt idx="3">
                  <c:v>0.043613707165109</c:v>
                </c:pt>
                <c:pt idx="4">
                  <c:v>0.0723270440251572</c:v>
                </c:pt>
                <c:pt idx="5">
                  <c:v>0.0428571428571429</c:v>
                </c:pt>
                <c:pt idx="6">
                  <c:v>0.052</c:v>
                </c:pt>
                <c:pt idx="7">
                  <c:v>0.0529411764705882</c:v>
                </c:pt>
                <c:pt idx="8">
                  <c:v>0.0555555555555556</c:v>
                </c:pt>
                <c:pt idx="9">
                  <c:v>0.0454545454545455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89918"/>
        <c:axId val="93845232"/>
      </c:lineChart>
      <c:catAx>
        <c:axId val="80789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45232"/>
        <c:crosses val="autoZero"/>
        <c:auto val="1"/>
        <c:lblAlgn val="ctr"/>
        <c:lblOffset val="100"/>
        <c:noMultiLvlLbl val="0"/>
      </c:catAx>
      <c:valAx>
        <c:axId val="93845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89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Bids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Bids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Trend'!$B$5:$B$14</c:f>
              <c:strCache>
                <c:ptCount val="10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</c:strCache>
            </c:strRef>
          </c:cat>
          <c:val>
            <c:numRef>
              <c:f>'Monthly Trend'!$C$5:$C$14</c:f>
              <c:numCache>
                <c:formatCode>General</c:formatCode>
                <c:ptCount val="10"/>
                <c:pt idx="0">
                  <c:v>335</c:v>
                </c:pt>
                <c:pt idx="1">
                  <c:v>358</c:v>
                </c:pt>
                <c:pt idx="2">
                  <c:v>240</c:v>
                </c:pt>
                <c:pt idx="3">
                  <c:v>321</c:v>
                </c:pt>
                <c:pt idx="4">
                  <c:v>318</c:v>
                </c:pt>
                <c:pt idx="5">
                  <c:v>280</c:v>
                </c:pt>
                <c:pt idx="6">
                  <c:v>250</c:v>
                </c:pt>
                <c:pt idx="7">
                  <c:v>170</c:v>
                </c:pt>
                <c:pt idx="8">
                  <c:v>180</c:v>
                </c:pt>
                <c:pt idx="9">
                  <c:v>132</c:v>
                </c:pt>
              </c:numCache>
            </c:numRef>
          </c:val>
        </c:ser>
        <c:gapWidth val="150"/>
        <c:overlap val="0"/>
        <c:axId val="34450838"/>
        <c:axId val="6714831"/>
      </c:barChart>
      <c:catAx>
        <c:axId val="34450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4831"/>
        <c:crosses val="autoZero"/>
        <c:auto val="1"/>
        <c:lblAlgn val="ctr"/>
        <c:lblOffset val="100"/>
        <c:noMultiLvlLbl val="0"/>
      </c:catAx>
      <c:valAx>
        <c:axId val="6714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50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Bids per profile (Aug–Oct)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Profile'!B4</c:f>
              <c:strCache>
                <c:ptCount val="1"/>
                <c:pt idx="0">
                  <c:v>Bids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Profile'!$A$5:$A$8</c:f>
              <c:strCache>
                <c:ptCount val="4"/>
                <c:pt idx="0">
                  <c:v>Yulia</c:v>
                </c:pt>
                <c:pt idx="1">
                  <c:v>Polina</c:v>
                </c:pt>
                <c:pt idx="2">
                  <c:v>Shevk</c:v>
                </c:pt>
                <c:pt idx="3">
                  <c:v>Andrew</c:v>
                </c:pt>
              </c:strCache>
            </c:strRef>
          </c:cat>
          <c:val>
            <c:numRef>
              <c:f>'By Profile'!$B$5:$B$8</c:f>
              <c:numCache>
                <c:formatCode>General</c:formatCode>
                <c:ptCount val="4"/>
                <c:pt idx="0">
                  <c:v>288</c:v>
                </c:pt>
                <c:pt idx="1">
                  <c:v>105</c:v>
                </c:pt>
                <c:pt idx="2">
                  <c:v>48</c:v>
                </c:pt>
                <c:pt idx="3">
                  <c:v>41</c:v>
                </c:pt>
              </c:numCache>
            </c:numRef>
          </c:val>
        </c:ser>
        <c:gapWidth val="150"/>
        <c:overlap val="0"/>
        <c:axId val="40821025"/>
        <c:axId val="65947225"/>
      </c:barChart>
      <c:catAx>
        <c:axId val="40821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47225"/>
        <c:crosses val="autoZero"/>
        <c:auto val="1"/>
        <c:lblAlgn val="ctr"/>
        <c:lblOffset val="100"/>
        <c:noMultiLvlLbl val="0"/>
      </c:catAx>
      <c:valAx>
        <c:axId val="65947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21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Bid → Interview: all vs organic vs Jan–Jul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Profile'!F4</c:f>
              <c:strCache>
                <c:ptCount val="1"/>
                <c:pt idx="0">
                  <c:v>Bid → Interview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Profile'!$A$5:$A$8</c:f>
              <c:strCache>
                <c:ptCount val="4"/>
                <c:pt idx="0">
                  <c:v>Yulia</c:v>
                </c:pt>
                <c:pt idx="1">
                  <c:v>Polina</c:v>
                </c:pt>
                <c:pt idx="2">
                  <c:v>Shevk</c:v>
                </c:pt>
                <c:pt idx="3">
                  <c:v>Andrew</c:v>
                </c:pt>
              </c:strCache>
            </c:strRef>
          </c:cat>
          <c:val>
            <c:numRef>
              <c:f>'By Profile'!$F$5:$F$8</c:f>
              <c:numCache>
                <c:formatCode>0.0%;\-0.0%;\-</c:formatCode>
                <c:ptCount val="4"/>
                <c:pt idx="0">
                  <c:v>0.0659722222222222</c:v>
                </c:pt>
                <c:pt idx="1">
                  <c:v>0.0380952380952381</c:v>
                </c:pt>
                <c:pt idx="2">
                  <c:v>0.0208333333333333</c:v>
                </c:pt>
                <c:pt idx="3">
                  <c:v>0.024390243902439</c:v>
                </c:pt>
              </c:numCache>
            </c:numRef>
          </c:val>
        </c:ser>
        <c:ser>
          <c:idx val="1"/>
          <c:order val="1"/>
          <c:tx>
            <c:strRef>
              <c:f>'By Profile'!K4</c:f>
              <c:strCache>
                <c:ptCount val="1"/>
                <c:pt idx="0">
                  <c:v>Organic Bid → Interview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Profile'!$A$5:$A$8</c:f>
              <c:strCache>
                <c:ptCount val="4"/>
                <c:pt idx="0">
                  <c:v>Yulia</c:v>
                </c:pt>
                <c:pt idx="1">
                  <c:v>Polina</c:v>
                </c:pt>
                <c:pt idx="2">
                  <c:v>Shevk</c:v>
                </c:pt>
                <c:pt idx="3">
                  <c:v>Andrew</c:v>
                </c:pt>
              </c:strCache>
            </c:strRef>
          </c:cat>
          <c:val>
            <c:numRef>
              <c:f>'By Profile'!$K$5:$K$8</c:f>
              <c:numCache>
                <c:formatCode>0.0%;\-0.0%;\-</c:formatCode>
                <c:ptCount val="4"/>
                <c:pt idx="0">
                  <c:v>0.0627177700348432</c:v>
                </c:pt>
                <c:pt idx="1">
                  <c:v>0.0380952380952381</c:v>
                </c:pt>
                <c:pt idx="2">
                  <c:v>0.0208333333333333</c:v>
                </c:pt>
                <c:pt idx="3">
                  <c:v>0.024390243902439</c:v>
                </c:pt>
              </c:numCache>
            </c:numRef>
          </c:val>
        </c:ser>
        <c:ser>
          <c:idx val="2"/>
          <c:order val="2"/>
          <c:tx>
            <c:strRef>
              <c:f>'By Profile'!N4</c:f>
              <c:strCache>
                <c:ptCount val="1"/>
                <c:pt idx="0">
                  <c:v>Bid → Interview Jan–Jul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Profile'!$A$5:$A$8</c:f>
              <c:strCache>
                <c:ptCount val="4"/>
                <c:pt idx="0">
                  <c:v>Yulia</c:v>
                </c:pt>
                <c:pt idx="1">
                  <c:v>Polina</c:v>
                </c:pt>
                <c:pt idx="2">
                  <c:v>Shevk</c:v>
                </c:pt>
                <c:pt idx="3">
                  <c:v>Andrew</c:v>
                </c:pt>
              </c:strCache>
            </c:strRef>
          </c:cat>
          <c:val>
            <c:numRef>
              <c:f>'By Profile'!$N$5:$N$8</c:f>
              <c:numCache>
                <c:formatCode>0.0%;\-0.0%;\-</c:formatCode>
                <c:ptCount val="4"/>
                <c:pt idx="0">
                  <c:v>0.082089552238806</c:v>
                </c:pt>
                <c:pt idx="1">
                  <c:v>0.0710382513661202</c:v>
                </c:pt>
                <c:pt idx="2">
                  <c:v>0.0528455284552846</c:v>
                </c:pt>
                <c:pt idx="3">
                  <c:v>0.0858208955223881</c:v>
                </c:pt>
              </c:numCache>
            </c:numRef>
          </c:val>
        </c:ser>
        <c:gapWidth val="150"/>
        <c:overlap val="0"/>
        <c:axId val="4502693"/>
        <c:axId val="65992635"/>
      </c:barChart>
      <c:catAx>
        <c:axId val="4502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92635"/>
        <c:crosses val="autoZero"/>
        <c:auto val="1"/>
        <c:lblAlgn val="ctr"/>
        <c:lblOffset val="100"/>
        <c:noMultiLvlLbl val="0"/>
      </c:catAx>
      <c:valAx>
        <c:axId val="65992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2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bids by profile + rolling 4-week Bid → Interview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'Weekly Trend'!B3</c:f>
              <c:strCache>
                <c:ptCount val="1"/>
                <c:pt idx="0">
                  <c:v>Andrew bids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Trend'!$A$4:$A$16</c:f>
              <c:strCache>
                <c:ptCount val="13"/>
                <c:pt idx="0">
                  <c:v>2026-07-27</c:v>
                </c:pt>
                <c:pt idx="1">
                  <c:v>2026-08-03</c:v>
                </c:pt>
                <c:pt idx="2">
                  <c:v>2026-08-10</c:v>
                </c:pt>
                <c:pt idx="3">
                  <c:v>2026-08-17</c:v>
                </c:pt>
                <c:pt idx="4">
                  <c:v>2026-08-24</c:v>
                </c:pt>
                <c:pt idx="5">
                  <c:v>2026-08-31</c:v>
                </c:pt>
                <c:pt idx="6">
                  <c:v>2026-09-07</c:v>
                </c:pt>
                <c:pt idx="7">
                  <c:v>2026-09-14</c:v>
                </c:pt>
                <c:pt idx="8">
                  <c:v>2026-09-21</c:v>
                </c:pt>
                <c:pt idx="9">
                  <c:v>2026-09-28</c:v>
                </c:pt>
                <c:pt idx="10">
                  <c:v>2026-10-05</c:v>
                </c:pt>
                <c:pt idx="11">
                  <c:v>2026-10-12</c:v>
                </c:pt>
                <c:pt idx="12">
                  <c:v>2026-10-19</c:v>
                </c:pt>
              </c:strCache>
            </c:strRef>
          </c:cat>
          <c:val>
            <c:numRef>
              <c:f>'Weekly Trend'!$B$4:$B$16</c:f>
              <c:numCache>
                <c:formatCode>General</c:formatCode>
                <c:ptCount val="13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</c:ser>
        <c:ser>
          <c:idx val="1"/>
          <c:order val="1"/>
          <c:tx>
            <c:strRef>
              <c:f>'Weekly Trend'!C3</c:f>
              <c:strCache>
                <c:ptCount val="1"/>
                <c:pt idx="0">
                  <c:v>Polina bids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Trend'!$A$4:$A$16</c:f>
              <c:strCache>
                <c:ptCount val="13"/>
                <c:pt idx="0">
                  <c:v>2026-07-27</c:v>
                </c:pt>
                <c:pt idx="1">
                  <c:v>2026-08-03</c:v>
                </c:pt>
                <c:pt idx="2">
                  <c:v>2026-08-10</c:v>
                </c:pt>
                <c:pt idx="3">
                  <c:v>2026-08-17</c:v>
                </c:pt>
                <c:pt idx="4">
                  <c:v>2026-08-24</c:v>
                </c:pt>
                <c:pt idx="5">
                  <c:v>2026-08-31</c:v>
                </c:pt>
                <c:pt idx="6">
                  <c:v>2026-09-07</c:v>
                </c:pt>
                <c:pt idx="7">
                  <c:v>2026-09-14</c:v>
                </c:pt>
                <c:pt idx="8">
                  <c:v>2026-09-21</c:v>
                </c:pt>
                <c:pt idx="9">
                  <c:v>2026-09-28</c:v>
                </c:pt>
                <c:pt idx="10">
                  <c:v>2026-10-05</c:v>
                </c:pt>
                <c:pt idx="11">
                  <c:v>2026-10-12</c:v>
                </c:pt>
                <c:pt idx="12">
                  <c:v>2026-10-19</c:v>
                </c:pt>
              </c:strCache>
            </c:strRef>
          </c:cat>
          <c:val>
            <c:numRef>
              <c:f>'Weekly Trend'!$C$4:$C$16</c:f>
              <c:numCache>
                <c:formatCode>General</c:formatCode>
                <c:ptCount val="13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12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15</c:v>
                </c:pt>
                <c:pt idx="11">
                  <c:v>9</c:v>
                </c:pt>
                <c:pt idx="12">
                  <c:v>3</c:v>
                </c:pt>
              </c:numCache>
            </c:numRef>
          </c:val>
        </c:ser>
        <c:ser>
          <c:idx val="2"/>
          <c:order val="2"/>
          <c:tx>
            <c:strRef>
              <c:f>'Weekly Trend'!D3</c:f>
              <c:strCache>
                <c:ptCount val="1"/>
                <c:pt idx="0">
                  <c:v>Shevk bids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Trend'!$A$4:$A$16</c:f>
              <c:strCache>
                <c:ptCount val="13"/>
                <c:pt idx="0">
                  <c:v>2026-07-27</c:v>
                </c:pt>
                <c:pt idx="1">
                  <c:v>2026-08-03</c:v>
                </c:pt>
                <c:pt idx="2">
                  <c:v>2026-08-10</c:v>
                </c:pt>
                <c:pt idx="3">
                  <c:v>2026-08-17</c:v>
                </c:pt>
                <c:pt idx="4">
                  <c:v>2026-08-24</c:v>
                </c:pt>
                <c:pt idx="5">
                  <c:v>2026-08-31</c:v>
                </c:pt>
                <c:pt idx="6">
                  <c:v>2026-09-07</c:v>
                </c:pt>
                <c:pt idx="7">
                  <c:v>2026-09-14</c:v>
                </c:pt>
                <c:pt idx="8">
                  <c:v>2026-09-21</c:v>
                </c:pt>
                <c:pt idx="9">
                  <c:v>2026-09-28</c:v>
                </c:pt>
                <c:pt idx="10">
                  <c:v>2026-10-05</c:v>
                </c:pt>
                <c:pt idx="11">
                  <c:v>2026-10-12</c:v>
                </c:pt>
                <c:pt idx="12">
                  <c:v>2026-10-19</c:v>
                </c:pt>
              </c:strCache>
            </c:strRef>
          </c:cat>
          <c:val>
            <c:numRef>
              <c:f>'Weekly Trend'!$D$4:$D$16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'Weekly Trend'!E3</c:f>
              <c:strCache>
                <c:ptCount val="1"/>
                <c:pt idx="0">
                  <c:v>Yulia bids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Trend'!$A$4:$A$16</c:f>
              <c:strCache>
                <c:ptCount val="13"/>
                <c:pt idx="0">
                  <c:v>2026-07-27</c:v>
                </c:pt>
                <c:pt idx="1">
                  <c:v>2026-08-03</c:v>
                </c:pt>
                <c:pt idx="2">
                  <c:v>2026-08-10</c:v>
                </c:pt>
                <c:pt idx="3">
                  <c:v>2026-08-17</c:v>
                </c:pt>
                <c:pt idx="4">
                  <c:v>2026-08-24</c:v>
                </c:pt>
                <c:pt idx="5">
                  <c:v>2026-08-31</c:v>
                </c:pt>
                <c:pt idx="6">
                  <c:v>2026-09-07</c:v>
                </c:pt>
                <c:pt idx="7">
                  <c:v>2026-09-14</c:v>
                </c:pt>
                <c:pt idx="8">
                  <c:v>2026-09-21</c:v>
                </c:pt>
                <c:pt idx="9">
                  <c:v>2026-09-28</c:v>
                </c:pt>
                <c:pt idx="10">
                  <c:v>2026-10-05</c:v>
                </c:pt>
                <c:pt idx="11">
                  <c:v>2026-10-12</c:v>
                </c:pt>
                <c:pt idx="12">
                  <c:v>2026-10-19</c:v>
                </c:pt>
              </c:strCache>
            </c:strRef>
          </c:cat>
          <c:val>
            <c:numRef>
              <c:f>'Weekly Trend'!$E$4:$E$16</c:f>
              <c:numCache>
                <c:formatCode>General</c:formatCode>
                <c:ptCount val="13"/>
                <c:pt idx="0">
                  <c:v>5</c:v>
                </c:pt>
                <c:pt idx="1">
                  <c:v>24</c:v>
                </c:pt>
                <c:pt idx="2">
                  <c:v>25</c:v>
                </c:pt>
                <c:pt idx="3">
                  <c:v>21</c:v>
                </c:pt>
                <c:pt idx="4">
                  <c:v>24</c:v>
                </c:pt>
                <c:pt idx="5">
                  <c:v>25</c:v>
                </c:pt>
                <c:pt idx="6">
                  <c:v>23</c:v>
                </c:pt>
                <c:pt idx="7">
                  <c:v>30</c:v>
                </c:pt>
                <c:pt idx="8">
                  <c:v>21</c:v>
                </c:pt>
                <c:pt idx="9">
                  <c:v>33</c:v>
                </c:pt>
                <c:pt idx="10">
                  <c:v>26</c:v>
                </c:pt>
                <c:pt idx="11">
                  <c:v>25</c:v>
                </c:pt>
                <c:pt idx="12">
                  <c:v>6</c:v>
                </c:pt>
              </c:numCache>
            </c:numRef>
          </c:val>
        </c:ser>
        <c:gapWidth val="150"/>
        <c:overlap val="100"/>
        <c:axId val="83480587"/>
        <c:axId val="39626519"/>
      </c:barChart>
      <c:lineChart>
        <c:grouping val="stacked"/>
        <c:varyColors val="0"/>
        <c:ser>
          <c:idx val="4"/>
          <c:order val="4"/>
          <c:tx>
            <c:strRef>
              <c:f>'Weekly Trend'!J3</c:f>
              <c:strCache>
                <c:ptCount val="1"/>
                <c:pt idx="0">
                  <c:v>Rolling 4-wk Bid → Interview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Trend'!$A$4:$A$16</c:f>
              <c:strCache>
                <c:ptCount val="13"/>
                <c:pt idx="0">
                  <c:v>2026-07-27</c:v>
                </c:pt>
                <c:pt idx="1">
                  <c:v>2026-08-03</c:v>
                </c:pt>
                <c:pt idx="2">
                  <c:v>2026-08-10</c:v>
                </c:pt>
                <c:pt idx="3">
                  <c:v>2026-08-17</c:v>
                </c:pt>
                <c:pt idx="4">
                  <c:v>2026-08-24</c:v>
                </c:pt>
                <c:pt idx="5">
                  <c:v>2026-08-31</c:v>
                </c:pt>
                <c:pt idx="6">
                  <c:v>2026-09-07</c:v>
                </c:pt>
                <c:pt idx="7">
                  <c:v>2026-09-14</c:v>
                </c:pt>
                <c:pt idx="8">
                  <c:v>2026-09-21</c:v>
                </c:pt>
                <c:pt idx="9">
                  <c:v>2026-09-28</c:v>
                </c:pt>
                <c:pt idx="10">
                  <c:v>2026-10-05</c:v>
                </c:pt>
                <c:pt idx="11">
                  <c:v>2026-10-12</c:v>
                </c:pt>
                <c:pt idx="12">
                  <c:v>2026-10-19</c:v>
                </c:pt>
              </c:strCache>
            </c:strRef>
          </c:cat>
          <c:val>
            <c:numRef>
              <c:f>'Weekly Trend'!$J$4:$J$16</c:f>
              <c:numCache>
                <c:formatCode>0.0%;\-0.0%;\-</c:formatCode>
                <c:ptCount val="13"/>
                <c:pt idx="3">
                  <c:v>0.0725806451612903</c:v>
                </c:pt>
                <c:pt idx="4">
                  <c:v>0.0529801324503311</c:v>
                </c:pt>
                <c:pt idx="5">
                  <c:v>0.0516129032258065</c:v>
                </c:pt>
                <c:pt idx="6">
                  <c:v>0.0516129032258065</c:v>
                </c:pt>
                <c:pt idx="7">
                  <c:v>0.0363636363636364</c:v>
                </c:pt>
                <c:pt idx="8">
                  <c:v>0.0479041916167665</c:v>
                </c:pt>
                <c:pt idx="9">
                  <c:v>0.0561797752808989</c:v>
                </c:pt>
                <c:pt idx="10">
                  <c:v>0.0486486486486487</c:v>
                </c:pt>
                <c:pt idx="11">
                  <c:v>0.0491803278688525</c:v>
                </c:pt>
                <c:pt idx="12">
                  <c:v>0.0526315789473684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087743"/>
        <c:axId val="29905977"/>
      </c:lineChart>
      <c:catAx>
        <c:axId val="8348058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26519"/>
        <c:crosses val="autoZero"/>
        <c:auto val="1"/>
        <c:lblAlgn val="ctr"/>
        <c:lblOffset val="100"/>
        <c:noMultiLvlLbl val="0"/>
      </c:catAx>
      <c:valAx>
        <c:axId val="39626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80587"/>
        <c:crosses val="autoZero"/>
        <c:crossBetween val="between"/>
      </c:valAx>
      <c:catAx>
        <c:axId val="1208774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05977"/>
        <c:crosses val="autoZero"/>
        <c:auto val="1"/>
        <c:lblAlgn val="ctr"/>
        <c:lblOffset val="100"/>
        <c:noMultiLvlLbl val="0"/>
      </c:catAx>
      <c:valAx>
        <c:axId val="29905977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Rolling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8774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22</xdr:col>
      <xdr:colOff>364680</xdr:colOff>
      <xdr:row>15</xdr:row>
      <xdr:rowOff>174600</xdr:rowOff>
    </xdr:to>
    <xdr:graphicFrame>
      <xdr:nvGraphicFramePr>
        <xdr:cNvPr id="0" name="Chart 1"/>
        <xdr:cNvGraphicFramePr/>
      </xdr:nvGraphicFramePr>
      <xdr:xfrm>
        <a:off x="9563040" y="5716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18</xdr:row>
      <xdr:rowOff>160560</xdr:rowOff>
    </xdr:from>
    <xdr:to>
      <xdr:col>22</xdr:col>
      <xdr:colOff>364680</xdr:colOff>
      <xdr:row>33</xdr:row>
      <xdr:rowOff>2880</xdr:rowOff>
    </xdr:to>
    <xdr:graphicFrame>
      <xdr:nvGraphicFramePr>
        <xdr:cNvPr id="1" name="Chart 2"/>
        <xdr:cNvGraphicFramePr/>
      </xdr:nvGraphicFramePr>
      <xdr:xfrm>
        <a:off x="9563040" y="382896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39240</xdr:rowOff>
    </xdr:from>
    <xdr:to>
      <xdr:col>6</xdr:col>
      <xdr:colOff>528480</xdr:colOff>
      <xdr:row>37</xdr:row>
      <xdr:rowOff>72000</xdr:rowOff>
    </xdr:to>
    <xdr:graphicFrame>
      <xdr:nvGraphicFramePr>
        <xdr:cNvPr id="2" name="Chart 1"/>
        <xdr:cNvGraphicFramePr/>
      </xdr:nvGraphicFramePr>
      <xdr:xfrm>
        <a:off x="0" y="49719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39240</xdr:rowOff>
    </xdr:from>
    <xdr:to>
      <xdr:col>13</xdr:col>
      <xdr:colOff>473040</xdr:colOff>
      <xdr:row>37</xdr:row>
      <xdr:rowOff>72000</xdr:rowOff>
    </xdr:to>
    <xdr:graphicFrame>
      <xdr:nvGraphicFramePr>
        <xdr:cNvPr id="3" name="Chart 2"/>
        <xdr:cNvGraphicFramePr/>
      </xdr:nvGraphicFramePr>
      <xdr:xfrm>
        <a:off x="5286240" y="49719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160920</xdr:rowOff>
    </xdr:from>
    <xdr:to>
      <xdr:col>11</xdr:col>
      <xdr:colOff>252000</xdr:colOff>
      <xdr:row>37</xdr:row>
      <xdr:rowOff>162000</xdr:rowOff>
    </xdr:to>
    <xdr:graphicFrame>
      <xdr:nvGraphicFramePr>
        <xdr:cNvPr id="4" name="Chart 1"/>
        <xdr:cNvGraphicFramePr/>
      </xdr:nvGraphicFramePr>
      <xdr:xfrm>
        <a:off x="0" y="42102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app.notion.com/p/3aebd8b60a6380ffae17f7a8640b3a9f" TargetMode="External"/><Relationship Id="rId3" Type="http://schemas.openxmlformats.org/officeDocument/2006/relationships/hyperlink" Target="https://app.notion.com/p/3babd8b60a6381d7a9fadb59a24e4ab4" TargetMode="External"/><Relationship Id="rId4" Type="http://schemas.openxmlformats.org/officeDocument/2006/relationships/hyperlink" Target="https://app.notion.com/p/3b1bd8b60a6380fe8972fba06776352c" TargetMode="External"/><Relationship Id="rId5" Type="http://schemas.openxmlformats.org/officeDocument/2006/relationships/hyperlink" Target="https://app.notion.com/p/3b1bd8b60a6381d5b12bef45d16ee5c7" TargetMode="External"/><Relationship Id="rId6" Type="http://schemas.openxmlformats.org/officeDocument/2006/relationships/hyperlink" Target="https://app.notion.com/p/3b6bd8b60a6380c3a9d4cd6fc4e0d4ba" TargetMode="External"/><Relationship Id="rId7" Type="http://schemas.openxmlformats.org/officeDocument/2006/relationships/hyperlink" Target="https://app.notion.com/p/3b8bd8b60a6381939f0cd23fb0bc08cf" TargetMode="External"/><Relationship Id="rId8" Type="http://schemas.openxmlformats.org/officeDocument/2006/relationships/hyperlink" Target="https://app.notion.com/p/3b6bd8b60a6380b58dffcf1fb2048c16" TargetMode="External"/><Relationship Id="rId9" Type="http://schemas.openxmlformats.org/officeDocument/2006/relationships/hyperlink" Target="https://app.notion.com/p/3babd8b60a638162859ceafb39eec6ef" TargetMode="External"/><Relationship Id="rId10" Type="http://schemas.openxmlformats.org/officeDocument/2006/relationships/hyperlink" Target="https://app.notion.com/p/3bcbd8b60a638036999afddb9f2997df" TargetMode="External"/><Relationship Id="rId11" Type="http://schemas.openxmlformats.org/officeDocument/2006/relationships/hyperlink" Target="https://app.notion.com/p/3bcbd8b60a63815abc31ccd14e852a23" TargetMode="External"/><Relationship Id="rId12" Type="http://schemas.openxmlformats.org/officeDocument/2006/relationships/hyperlink" Target="https://app.notion.com/p/3bfbd8b60a638059bc48fcfbfe32712d" TargetMode="External"/><Relationship Id="rId13" Type="http://schemas.openxmlformats.org/officeDocument/2006/relationships/hyperlink" Target="https://app.notion.com/p/3bfbd8b60a638121bb3ef3c819d9a781" TargetMode="External"/><Relationship Id="rId14" Type="http://schemas.openxmlformats.org/officeDocument/2006/relationships/hyperlink" Target="https://app.notion.com/p/3f4bd8b60a6380979690d118872c5fe7" TargetMode="External"/><Relationship Id="rId15" Type="http://schemas.openxmlformats.org/officeDocument/2006/relationships/hyperlink" Target="https://app.notion.com/p/3f4bd8b60a6381d99b8ce80422adedf3" TargetMode="External"/><Relationship Id="rId16" Type="http://schemas.openxmlformats.org/officeDocument/2006/relationships/hyperlink" Target="https://app.notion.com/p/3c1bd8b60a6380e68ff5e16d9dc90a05" TargetMode="External"/><Relationship Id="rId17" Type="http://schemas.openxmlformats.org/officeDocument/2006/relationships/hyperlink" Target="https://app.notion.com/p/3c3bd8b60a6381c485e8f231672ce4c5" TargetMode="External"/><Relationship Id="rId18" Type="http://schemas.openxmlformats.org/officeDocument/2006/relationships/hyperlink" Target="https://app.notion.com/p/3c5bd8b60a6380f9beffec7f6ebf7bcc" TargetMode="External"/><Relationship Id="rId19" Type="http://schemas.openxmlformats.org/officeDocument/2006/relationships/hyperlink" Target="https://app.notion.com/p/3c9bd8b60a6381bcb17ee7bea7f0dbd1" TargetMode="External"/><Relationship Id="rId20" Type="http://schemas.openxmlformats.org/officeDocument/2006/relationships/hyperlink" Target="https://app.notion.com/p/3ffbd8b60a638145bda3f714ba95b244" TargetMode="External"/><Relationship Id="rId21" Type="http://schemas.openxmlformats.org/officeDocument/2006/relationships/hyperlink" Target="https://app.notion.com/p/3ffbd8b60a6381b08276f6ac45a7b9f9" TargetMode="External"/><Relationship Id="rId22" Type="http://schemas.openxmlformats.org/officeDocument/2006/relationships/hyperlink" Target="https://app.notion.com/p/3d1bd8b60a6380f8b80af7ded3b1d693" TargetMode="External"/><Relationship Id="rId23" Type="http://schemas.openxmlformats.org/officeDocument/2006/relationships/hyperlink" Target="https://app.notion.com/p/3d3bd8b60a63812c9b83c241d0759778" TargetMode="External"/><Relationship Id="rId24" Type="http://schemas.openxmlformats.org/officeDocument/2006/relationships/hyperlink" Target="https://app.notion.com/p/3d2bd8b60a6380239fbbf2e5caf3535b" TargetMode="External"/><Relationship Id="rId25" Type="http://schemas.openxmlformats.org/officeDocument/2006/relationships/hyperlink" Target="https://app.notion.com/p/3d3bd8b60a6381b88a86eeb3ed090c66" TargetMode="External"/><Relationship Id="rId26" Type="http://schemas.openxmlformats.org/officeDocument/2006/relationships/hyperlink" Target="https://app.notion.com/p/3d7bd8b60a6380d09a13c7ea99f5c73d" TargetMode="External"/><Relationship Id="rId27" Type="http://schemas.openxmlformats.org/officeDocument/2006/relationships/hyperlink" Target="https://app.notion.com/p/3ddbd8b60a638178b0c7e3683708efe0" TargetMode="External"/><Relationship Id="rId28" Type="http://schemas.openxmlformats.org/officeDocument/2006/relationships/hyperlink" Target="https://app.notion.com/p/3dcbd8b60a6380e2b52cf7954feedfe4" TargetMode="External"/><Relationship Id="rId29" Type="http://schemas.openxmlformats.org/officeDocument/2006/relationships/hyperlink" Target="https://app.notion.com/p/3ddbd8b60a6381baa7b1f0a2af8af605" TargetMode="External"/><Relationship Id="rId30" Type="http://schemas.openxmlformats.org/officeDocument/2006/relationships/hyperlink" Target="https://app.notion.com/p/3ddbd8b60a6380b3ac7afeb14ac92545" TargetMode="External"/><Relationship Id="rId31" Type="http://schemas.openxmlformats.org/officeDocument/2006/relationships/hyperlink" Target="https://app.notion.com/p/3dfbd8b60a638185ab0cec5a8d146a51" TargetMode="External"/><Relationship Id="rId32" Type="http://schemas.openxmlformats.org/officeDocument/2006/relationships/hyperlink" Target="https://app.notion.com/p/3e2bd8b60a6380dd8ae2d1f13da0c938" TargetMode="External"/><Relationship Id="rId33" Type="http://schemas.openxmlformats.org/officeDocument/2006/relationships/hyperlink" Target="https://app.notion.com/p/3e2bd8b60a63819d908fe4dfdd23e43a" TargetMode="External"/><Relationship Id="rId34" Type="http://schemas.openxmlformats.org/officeDocument/2006/relationships/hyperlink" Target="https://app.notion.com/p/3e6bd8b60a63805f9b19cbdf75e9db07" TargetMode="External"/><Relationship Id="rId35" Type="http://schemas.openxmlformats.org/officeDocument/2006/relationships/hyperlink" Target="https://app.notion.com/p/3edbd8b60a6381beaaefdda254fc9bdd" TargetMode="External"/><Relationship Id="rId36" Type="http://schemas.openxmlformats.org/officeDocument/2006/relationships/hyperlink" Target="https://app.notion.com/p/3ebbd8b60a63806baf49fc5adfddb1f7" TargetMode="External"/><Relationship Id="rId37" Type="http://schemas.openxmlformats.org/officeDocument/2006/relationships/hyperlink" Target="https://app.notion.com/p/3ebbd8b60a6381d8b49ae30dfc77e68f" TargetMode="External"/><Relationship Id="rId38" Type="http://schemas.openxmlformats.org/officeDocument/2006/relationships/hyperlink" Target="https://app.notion.com/p/3ebbd8b60a63809a96abd3aef15d0a3a" TargetMode="External"/><Relationship Id="rId39" Type="http://schemas.openxmlformats.org/officeDocument/2006/relationships/hyperlink" Target="https://app.notion.com/p/3edbd8b60a638155a8bbc9626f125089" TargetMode="External"/><Relationship Id="rId40" Type="http://schemas.openxmlformats.org/officeDocument/2006/relationships/hyperlink" Target="https://app.notion.com/p/3edbd8b60a6380be9060ed914eb29833" TargetMode="External"/><Relationship Id="rId41" Type="http://schemas.openxmlformats.org/officeDocument/2006/relationships/hyperlink" Target="https://app.notion.com/p/3edbd8b60a63819291d2cda5658a5b85" TargetMode="External"/><Relationship Id="rId42" Type="http://schemas.openxmlformats.org/officeDocument/2006/relationships/hyperlink" Target="https://app.notion.com/p/3efbd8b60a638082810dc2c800331cd9" TargetMode="External"/><Relationship Id="rId43" Type="http://schemas.openxmlformats.org/officeDocument/2006/relationships/hyperlink" Target="https://app.notion.com/p/3f1bd8b60a638190b44fd0aa570788e3" TargetMode="External"/><Relationship Id="rId44" Type="http://schemas.openxmlformats.org/officeDocument/2006/relationships/hyperlink" Target="https://app.notion.com/p/3efbd8b60a6380c89a41ed9957e880d0" TargetMode="External"/><Relationship Id="rId45" Type="http://schemas.openxmlformats.org/officeDocument/2006/relationships/hyperlink" Target="https://app.notion.com/p/3efbd8b60a638180a8fdceec5de0cf41" TargetMode="External"/><Relationship Id="rId46" Type="http://schemas.openxmlformats.org/officeDocument/2006/relationships/hyperlink" Target="https://app.notion.com/p/3f7bd8b60a638005ac71ff3702d1cc69" TargetMode="External"/><Relationship Id="rId47" Type="http://schemas.openxmlformats.org/officeDocument/2006/relationships/hyperlink" Target="https://app.notion.com/p/3f7bd8b60a6381a98a0beffc50495ba7" TargetMode="External"/><Relationship Id="rId48" Type="http://schemas.openxmlformats.org/officeDocument/2006/relationships/hyperlink" Target="https://app.notion.com/p/3fbbd8b60a6380cfa966da65cf868718" TargetMode="External"/><Relationship Id="rId49" Type="http://schemas.openxmlformats.org/officeDocument/2006/relationships/hyperlink" Target="https://app.notion.com/p/3fcbd8b60a63818fb584f73da73ebad6" TargetMode="External"/><Relationship Id="rId50" Type="http://schemas.openxmlformats.org/officeDocument/2006/relationships/hyperlink" Target="https://app.notion.com/p/3febd8b60a63802fa6f7e12a6dba6554" TargetMode="External"/><Relationship Id="rId51" Type="http://schemas.openxmlformats.org/officeDocument/2006/relationships/hyperlink" Target="https://app.notion.com/p/3febd8b60a6381deb4bef9ab2288aa08" TargetMode="External"/><Relationship Id="rId5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'Monthly Trend'!C17</f>
        <v>482</v>
      </c>
      <c r="C5" s="6" t="n">
        <f aca="false">'Monthly Trend'!C16</f>
        <v>2102</v>
      </c>
      <c r="D5" s="7" t="n">
        <f aca="false">IFERROR((B5/'Monthly Trend'!I17)/(C5/'Monthly Trend'!I16)-1,0)</f>
        <v>-0.399842595529243</v>
      </c>
      <c r="E5" s="8" t="s">
        <v>8</v>
      </c>
    </row>
    <row r="6" customFormat="false" ht="15" hidden="false" customHeight="false" outlineLevel="0" collapsed="false">
      <c r="A6" s="5" t="s">
        <v>9</v>
      </c>
      <c r="B6" s="9" t="n">
        <f aca="false">'Monthly Trend'!J17</f>
        <v>5.95061728395062</v>
      </c>
      <c r="C6" s="9" t="n">
        <f aca="false">'Monthly Trend'!J16</f>
        <v>9.91509433962264</v>
      </c>
      <c r="D6" s="10" t="n">
        <f aca="false">B6-C6</f>
        <v>-3.96447705567202</v>
      </c>
      <c r="E6" s="8"/>
    </row>
    <row r="7" customFormat="false" ht="15" hidden="false" customHeight="false" outlineLevel="0" collapsed="false">
      <c r="A7" s="5" t="s">
        <v>10</v>
      </c>
      <c r="B7" s="6" t="n">
        <f aca="false">'Monthly Trend'!D17</f>
        <v>25</v>
      </c>
      <c r="C7" s="6" t="n">
        <f aca="false">'Monthly Trend'!D16</f>
        <v>158</v>
      </c>
      <c r="D7" s="7" t="n">
        <f aca="false">IFERROR((B7/'Monthly Trend'!I17)/(C7/'Monthly Trend'!I16)-1,0)</f>
        <v>-0.585872792623847</v>
      </c>
      <c r="E7" s="8"/>
    </row>
    <row r="8" customFormat="false" ht="39.55" hidden="false" customHeight="false" outlineLevel="0" collapsed="false">
      <c r="A8" s="5" t="s">
        <v>11</v>
      </c>
      <c r="B8" s="6" t="n">
        <f aca="false">'Monthly Trend'!E17</f>
        <v>3</v>
      </c>
      <c r="C8" s="6" t="n">
        <f aca="false">'Monthly Trend'!E16</f>
        <v>25</v>
      </c>
      <c r="D8" s="7" t="n">
        <f aca="false">IFERROR((B8/'Monthly Trend'!I17)/(C8/'Monthly Trend'!I16)-1,0)</f>
        <v>-0.685925925925926</v>
      </c>
      <c r="E8" s="8" t="s">
        <v>12</v>
      </c>
    </row>
    <row r="9" customFormat="false" ht="26.85" hidden="false" customHeight="false" outlineLevel="0" collapsed="false">
      <c r="A9" s="5" t="s">
        <v>13</v>
      </c>
      <c r="B9" s="11" t="n">
        <f aca="false">'Monthly Trend'!F17</f>
        <v>0.0518672199170125</v>
      </c>
      <c r="C9" s="11" t="n">
        <f aca="false">'Monthly Trend'!F16</f>
        <v>0.0751665080875357</v>
      </c>
      <c r="D9" s="12" t="n">
        <f aca="false">B9-C9</f>
        <v>-0.0232992881705232</v>
      </c>
      <c r="E9" s="8" t="s">
        <v>14</v>
      </c>
    </row>
    <row r="10" customFormat="false" ht="15" hidden="false" customHeight="false" outlineLevel="0" collapsed="false">
      <c r="A10" s="5" t="s">
        <v>15</v>
      </c>
      <c r="B10" s="11" t="n">
        <f aca="false">'Monthly Trend'!G17</f>
        <v>0.00622406639004149</v>
      </c>
      <c r="C10" s="11" t="n">
        <f aca="false">'Monthly Trend'!G16</f>
        <v>0.0118934348239772</v>
      </c>
      <c r="D10" s="12" t="n">
        <f aca="false">B10-C10</f>
        <v>-0.00566936843393567</v>
      </c>
      <c r="E10" s="8" t="s">
        <v>16</v>
      </c>
    </row>
    <row r="11" customFormat="false" ht="26.85" hidden="false" customHeight="false" outlineLevel="0" collapsed="false">
      <c r="A11" s="5" t="s">
        <v>17</v>
      </c>
      <c r="B11" s="11" t="n">
        <f aca="false">'Monthly Trend'!H17</f>
        <v>0.12</v>
      </c>
      <c r="C11" s="11" t="n">
        <f aca="false">'Monthly Trend'!H16</f>
        <v>0.158227848101266</v>
      </c>
      <c r="D11" s="12" t="n">
        <f aca="false">B11-C11</f>
        <v>-0.0382278481012658</v>
      </c>
      <c r="E11" s="8" t="s">
        <v>18</v>
      </c>
    </row>
    <row r="12" customFormat="false" ht="15" hidden="false" customHeight="false" outlineLevel="0" collapsed="false">
      <c r="A12" s="5" t="s">
        <v>19</v>
      </c>
      <c r="B12" s="11" t="n">
        <f aca="false">'By Profile'!K9</f>
        <v>0.0498960498960499</v>
      </c>
      <c r="C12" s="11"/>
      <c r="D12" s="2"/>
      <c r="E12" s="8" t="s">
        <v>20</v>
      </c>
    </row>
    <row r="13" customFormat="false" ht="26.85" hidden="false" customHeight="false" outlineLevel="0" collapsed="false">
      <c r="A13" s="5" t="s">
        <v>21</v>
      </c>
      <c r="B13" s="6" t="n">
        <f aca="false">'Wins by Close Date'!H11</f>
        <v>4</v>
      </c>
      <c r="C13" s="6"/>
      <c r="D13" s="2"/>
      <c r="E13" s="8" t="s">
        <v>22</v>
      </c>
    </row>
    <row r="14" customFormat="false" ht="15" hidden="false" customHeight="false" outlineLevel="0" collapsed="false">
      <c r="A14" s="5" t="s">
        <v>23</v>
      </c>
      <c r="B14" s="9" t="n">
        <f aca="false">Interviews!J27</f>
        <v>4.25</v>
      </c>
      <c r="C14" s="9"/>
      <c r="D14" s="2"/>
      <c r="E14" s="8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13" t="s">
        <v>24</v>
      </c>
      <c r="B16" s="2"/>
      <c r="C16" s="2"/>
      <c r="D16" s="2"/>
      <c r="E16" s="2"/>
    </row>
    <row r="17" customFormat="false" ht="31.5" hidden="false" customHeight="true" outlineLevel="0" collapsed="false">
      <c r="A17" s="4" t="s">
        <v>25</v>
      </c>
      <c r="B17" s="4" t="s">
        <v>26</v>
      </c>
      <c r="C17" s="4" t="s">
        <v>13</v>
      </c>
      <c r="D17" s="4" t="s">
        <v>27</v>
      </c>
      <c r="E17" s="4" t="s">
        <v>11</v>
      </c>
    </row>
    <row r="18" customFormat="false" ht="15" hidden="false" customHeight="false" outlineLevel="0" collapsed="false">
      <c r="A18" s="2" t="str">
        <f aca="false">'By Profile'!A5</f>
        <v>Yulia</v>
      </c>
      <c r="B18" s="2" t="n">
        <f aca="false">'By Profile'!B5</f>
        <v>288</v>
      </c>
      <c r="C18" s="11" t="n">
        <f aca="false">'By Profile'!F5</f>
        <v>0.0659722222222222</v>
      </c>
      <c r="D18" s="11" t="n">
        <f aca="false">'By Profile'!K5</f>
        <v>0.0627177700348432</v>
      </c>
      <c r="E18" s="2" t="n">
        <f aca="false">'By Profile'!E5</f>
        <v>0</v>
      </c>
    </row>
    <row r="19" customFormat="false" ht="15" hidden="false" customHeight="false" outlineLevel="0" collapsed="false">
      <c r="A19" s="2" t="str">
        <f aca="false">'By Profile'!A6</f>
        <v>Polina</v>
      </c>
      <c r="B19" s="2" t="n">
        <f aca="false">'By Profile'!B6</f>
        <v>105</v>
      </c>
      <c r="C19" s="11" t="n">
        <f aca="false">'By Profile'!F6</f>
        <v>0.0380952380952381</v>
      </c>
      <c r="D19" s="11" t="n">
        <f aca="false">'By Profile'!K6</f>
        <v>0.0380952380952381</v>
      </c>
      <c r="E19" s="2" t="n">
        <f aca="false">'By Profile'!E6</f>
        <v>2</v>
      </c>
    </row>
    <row r="20" customFormat="false" ht="15" hidden="false" customHeight="false" outlineLevel="0" collapsed="false">
      <c r="A20" s="2" t="str">
        <f aca="false">'By Profile'!A7</f>
        <v>Shevk</v>
      </c>
      <c r="B20" s="2" t="n">
        <f aca="false">'By Profile'!B7</f>
        <v>48</v>
      </c>
      <c r="C20" s="11" t="n">
        <f aca="false">'By Profile'!F7</f>
        <v>0.0208333333333333</v>
      </c>
      <c r="D20" s="11" t="n">
        <f aca="false">'By Profile'!K7</f>
        <v>0.0208333333333333</v>
      </c>
      <c r="E20" s="2" t="n">
        <f aca="false">'By Profile'!E7</f>
        <v>1</v>
      </c>
    </row>
    <row r="21" customFormat="false" ht="15" hidden="false" customHeight="false" outlineLevel="0" collapsed="false">
      <c r="A21" s="2" t="str">
        <f aca="false">'By Profile'!A8</f>
        <v>Andrew</v>
      </c>
      <c r="B21" s="2" t="n">
        <f aca="false">'By Profile'!B8</f>
        <v>41</v>
      </c>
      <c r="C21" s="11" t="n">
        <f aca="false">'By Profile'!F8</f>
        <v>0.024390243902439</v>
      </c>
      <c r="D21" s="11" t="n">
        <f aca="false">'By Profile'!K8</f>
        <v>0.024390243902439</v>
      </c>
      <c r="E21" s="2" t="n">
        <f aca="false">'By Profile'!E8</f>
        <v>0</v>
      </c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5" t="s">
        <v>28</v>
      </c>
      <c r="B23" s="2" t="str">
        <f aca="false">'By Profile'!B14</f>
        <v>Yulia</v>
      </c>
      <c r="C23" s="2" t="n">
        <f aca="false">'By Profile'!C14</f>
        <v>288</v>
      </c>
      <c r="D23" s="2"/>
      <c r="E23" s="2"/>
    </row>
    <row r="24" customFormat="false" ht="15" hidden="false" customHeight="false" outlineLevel="0" collapsed="false">
      <c r="A24" s="5" t="s">
        <v>29</v>
      </c>
      <c r="B24" s="2" t="str">
        <f aca="false">'By Profile'!B15</f>
        <v>Yulia</v>
      </c>
      <c r="C24" s="11" t="n">
        <f aca="false">'By Profile'!C15</f>
        <v>0.0627177700348432</v>
      </c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13" t="s">
        <v>30</v>
      </c>
      <c r="B26" s="2"/>
      <c r="C26" s="2"/>
      <c r="D26" s="2"/>
      <c r="E26" s="2"/>
    </row>
    <row r="27" customFormat="false" ht="33.75" hidden="false" customHeight="true" outlineLevel="0" collapsed="false">
      <c r="A27" s="14" t="s">
        <v>31</v>
      </c>
      <c r="B27" s="14"/>
      <c r="C27" s="14"/>
      <c r="D27" s="14"/>
      <c r="E27" s="14"/>
    </row>
    <row r="28" customFormat="false" ht="33.75" hidden="false" customHeight="true" outlineLevel="0" collapsed="false">
      <c r="A28" s="14" t="s">
        <v>32</v>
      </c>
      <c r="B28" s="14"/>
      <c r="C28" s="14"/>
      <c r="D28" s="14"/>
      <c r="E28" s="14"/>
    </row>
    <row r="29" customFormat="false" ht="33.75" hidden="false" customHeight="true" outlineLevel="0" collapsed="false">
      <c r="A29" s="14" t="s">
        <v>33</v>
      </c>
      <c r="B29" s="14"/>
      <c r="C29" s="14"/>
      <c r="D29" s="14"/>
      <c r="E29" s="14"/>
    </row>
    <row r="30" customFormat="false" ht="33.75" hidden="false" customHeight="true" outlineLevel="0" collapsed="false">
      <c r="A30" s="14" t="s">
        <v>34</v>
      </c>
      <c r="B30" s="14"/>
      <c r="C30" s="14"/>
      <c r="D30" s="14"/>
      <c r="E30" s="14"/>
    </row>
    <row r="31" customFormat="false" ht="33.75" hidden="false" customHeight="true" outlineLevel="0" collapsed="false">
      <c r="A31" s="14" t="s">
        <v>35</v>
      </c>
      <c r="B31" s="14"/>
      <c r="C31" s="14"/>
      <c r="D31" s="14"/>
      <c r="E31" s="14"/>
    </row>
    <row r="32" customFormat="false" ht="33.75" hidden="false" customHeight="true" outlineLevel="0" collapsed="false">
      <c r="A32" s="14" t="s">
        <v>36</v>
      </c>
      <c r="B32" s="14"/>
      <c r="C32" s="14"/>
      <c r="D32" s="14"/>
      <c r="E32" s="14"/>
    </row>
    <row r="33" customFormat="false" ht="33.75" hidden="false" customHeight="true" outlineLevel="0" collapsed="false">
      <c r="A33" s="14" t="s">
        <v>37</v>
      </c>
      <c r="B33" s="14"/>
      <c r="C33" s="14"/>
      <c r="D33" s="14"/>
      <c r="E33" s="14"/>
    </row>
  </sheetData>
  <mergeCells count="7">
    <mergeCell ref="A27:E27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40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customFormat="false" ht="15" hidden="false" customHeight="false" outlineLevel="0" collapsed="false">
      <c r="A2" s="15" t="n">
        <v>46235</v>
      </c>
      <c r="B2" s="16" t="s">
        <v>51</v>
      </c>
      <c r="C2" s="16" t="s">
        <v>52</v>
      </c>
      <c r="D2" s="16" t="s">
        <v>53</v>
      </c>
      <c r="E2" s="16" t="s">
        <v>54</v>
      </c>
      <c r="F2" s="16" t="s">
        <v>55</v>
      </c>
      <c r="G2" s="16"/>
      <c r="H2" s="15" t="n">
        <v>46247</v>
      </c>
      <c r="I2" s="17" t="n">
        <f aca="false">IF(OR(ISNUMBER(SEARCH("Won",F2)),G2="Won"),1,0)</f>
        <v>0</v>
      </c>
      <c r="J2" s="17" t="n">
        <f aca="false">IF(H2="","",H2-A2)</f>
        <v>12</v>
      </c>
      <c r="K2" s="18" t="s">
        <v>56</v>
      </c>
      <c r="L2" s="18" t="s">
        <v>57</v>
      </c>
      <c r="M2" s="2"/>
    </row>
    <row r="3" customFormat="false" ht="15" hidden="false" customHeight="false" outlineLevel="0" collapsed="false">
      <c r="A3" s="15" t="n">
        <v>46237</v>
      </c>
      <c r="B3" s="16" t="s">
        <v>51</v>
      </c>
      <c r="C3" s="16" t="s">
        <v>58</v>
      </c>
      <c r="D3" s="16" t="s">
        <v>59</v>
      </c>
      <c r="E3" s="16" t="s">
        <v>60</v>
      </c>
      <c r="F3" s="16" t="s">
        <v>55</v>
      </c>
      <c r="G3" s="16"/>
      <c r="H3" s="15" t="n">
        <v>46237</v>
      </c>
      <c r="I3" s="17" t="n">
        <f aca="false">IF(OR(ISNUMBER(SEARCH("Won",F3)),G3="Won"),1,0)</f>
        <v>0</v>
      </c>
      <c r="J3" s="17" t="n">
        <f aca="false">IF(H3="","",H3-A3)</f>
        <v>0</v>
      </c>
      <c r="K3" s="18" t="s">
        <v>61</v>
      </c>
      <c r="L3" s="18" t="s">
        <v>62</v>
      </c>
      <c r="M3" s="2"/>
    </row>
    <row r="4" customFormat="false" ht="15" hidden="false" customHeight="false" outlineLevel="0" collapsed="false">
      <c r="A4" s="15" t="n">
        <v>46242</v>
      </c>
      <c r="B4" s="16" t="s">
        <v>51</v>
      </c>
      <c r="C4" s="16" t="s">
        <v>52</v>
      </c>
      <c r="D4" s="16" t="s">
        <v>63</v>
      </c>
      <c r="E4" s="16" t="s">
        <v>64</v>
      </c>
      <c r="F4" s="16" t="s">
        <v>55</v>
      </c>
      <c r="G4" s="16"/>
      <c r="H4" s="15" t="n">
        <v>46244</v>
      </c>
      <c r="I4" s="17" t="n">
        <f aca="false">IF(OR(ISNUMBER(SEARCH("Won",F4)),G4="Won"),1,0)</f>
        <v>0</v>
      </c>
      <c r="J4" s="17" t="n">
        <f aca="false">IF(H4="","",H4-A4)</f>
        <v>2</v>
      </c>
      <c r="K4" s="18" t="s">
        <v>65</v>
      </c>
      <c r="L4" s="18" t="s">
        <v>66</v>
      </c>
      <c r="M4" s="2"/>
    </row>
    <row r="5" customFormat="false" ht="15" hidden="false" customHeight="false" outlineLevel="0" collapsed="false">
      <c r="A5" s="15" t="n">
        <v>46243</v>
      </c>
      <c r="B5" s="16" t="s">
        <v>51</v>
      </c>
      <c r="C5" s="16" t="s">
        <v>52</v>
      </c>
      <c r="D5" s="16" t="s">
        <v>67</v>
      </c>
      <c r="E5" s="16" t="s">
        <v>68</v>
      </c>
      <c r="F5" s="16" t="s">
        <v>55</v>
      </c>
      <c r="G5" s="16"/>
      <c r="H5" s="15" t="n">
        <v>46246</v>
      </c>
      <c r="I5" s="17" t="n">
        <f aca="false">IF(OR(ISNUMBER(SEARCH("Won",F5)),G5="Won"),1,0)</f>
        <v>0</v>
      </c>
      <c r="J5" s="17" t="n">
        <f aca="false">IF(H5="","",H5-A5)</f>
        <v>3</v>
      </c>
      <c r="K5" s="18" t="s">
        <v>69</v>
      </c>
      <c r="L5" s="18" t="s">
        <v>70</v>
      </c>
      <c r="M5" s="2"/>
    </row>
    <row r="6" customFormat="false" ht="15" hidden="false" customHeight="false" outlineLevel="0" collapsed="false">
      <c r="A6" s="15" t="n">
        <v>46248</v>
      </c>
      <c r="B6" s="16" t="s">
        <v>51</v>
      </c>
      <c r="C6" s="16" t="s">
        <v>52</v>
      </c>
      <c r="D6" s="16" t="s">
        <v>71</v>
      </c>
      <c r="E6" s="16" t="s">
        <v>72</v>
      </c>
      <c r="F6" s="16" t="s">
        <v>55</v>
      </c>
      <c r="G6" s="16"/>
      <c r="H6" s="15" t="n">
        <v>46248</v>
      </c>
      <c r="I6" s="17" t="n">
        <f aca="false">IF(OR(ISNUMBER(SEARCH("Won",F6)),G6="Won"),1,0)</f>
        <v>0</v>
      </c>
      <c r="J6" s="17" t="n">
        <f aca="false">IF(H6="","",H6-A6)</f>
        <v>0</v>
      </c>
      <c r="K6" s="18" t="s">
        <v>73</v>
      </c>
      <c r="L6" s="18" t="s">
        <v>74</v>
      </c>
      <c r="M6" s="2"/>
    </row>
    <row r="7" customFormat="false" ht="15" hidden="false" customHeight="false" outlineLevel="0" collapsed="false">
      <c r="A7" s="15" t="n">
        <v>46251</v>
      </c>
      <c r="B7" s="16" t="s">
        <v>51</v>
      </c>
      <c r="C7" s="16" t="s">
        <v>52</v>
      </c>
      <c r="D7" s="16" t="s">
        <v>75</v>
      </c>
      <c r="E7" s="16" t="s">
        <v>76</v>
      </c>
      <c r="F7" s="16" t="s">
        <v>55</v>
      </c>
      <c r="G7" s="16"/>
      <c r="H7" s="15" t="n">
        <v>46252</v>
      </c>
      <c r="I7" s="17" t="n">
        <f aca="false">IF(OR(ISNUMBER(SEARCH("Won",F7)),G7="Won"),1,0)</f>
        <v>0</v>
      </c>
      <c r="J7" s="17" t="n">
        <f aca="false">IF(H7="","",H7-A7)</f>
        <v>1</v>
      </c>
      <c r="K7" s="18" t="s">
        <v>77</v>
      </c>
      <c r="L7" s="18" t="s">
        <v>78</v>
      </c>
      <c r="M7" s="2"/>
    </row>
    <row r="8" customFormat="false" ht="15" hidden="false" customHeight="false" outlineLevel="0" collapsed="false">
      <c r="A8" s="15" t="n">
        <v>46251</v>
      </c>
      <c r="B8" s="16" t="s">
        <v>51</v>
      </c>
      <c r="C8" s="16" t="s">
        <v>79</v>
      </c>
      <c r="D8" s="16" t="s">
        <v>80</v>
      </c>
      <c r="E8" s="16" t="s">
        <v>81</v>
      </c>
      <c r="F8" s="16" t="s">
        <v>55</v>
      </c>
      <c r="G8" s="16" t="s">
        <v>82</v>
      </c>
      <c r="H8" s="15" t="n">
        <v>46304</v>
      </c>
      <c r="I8" s="17" t="n">
        <f aca="false">IF(OR(ISNUMBER(SEARCH("Won",F8)),G8="Won"),1,0)</f>
        <v>0</v>
      </c>
      <c r="J8" s="17" t="n">
        <f aca="false">IF(H8="","",H8-A8)</f>
        <v>53</v>
      </c>
      <c r="K8" s="18" t="s">
        <v>83</v>
      </c>
      <c r="L8" s="18" t="s">
        <v>84</v>
      </c>
      <c r="M8" s="2"/>
    </row>
    <row r="9" customFormat="false" ht="15" hidden="false" customHeight="false" outlineLevel="0" collapsed="false">
      <c r="A9" s="15" t="n">
        <v>46253</v>
      </c>
      <c r="B9" s="16" t="s">
        <v>51</v>
      </c>
      <c r="C9" s="16" t="s">
        <v>52</v>
      </c>
      <c r="D9" s="16" t="s">
        <v>85</v>
      </c>
      <c r="E9" s="16" t="s">
        <v>86</v>
      </c>
      <c r="F9" s="16" t="s">
        <v>55</v>
      </c>
      <c r="G9" s="16"/>
      <c r="H9" s="15" t="n">
        <v>46255</v>
      </c>
      <c r="I9" s="17" t="n">
        <f aca="false">IF(OR(ISNUMBER(SEARCH("Won",F9)),G9="Won"),1,0)</f>
        <v>0</v>
      </c>
      <c r="J9" s="17" t="n">
        <f aca="false">IF(H9="","",H9-A9)</f>
        <v>2</v>
      </c>
      <c r="K9" s="18" t="s">
        <v>87</v>
      </c>
      <c r="L9" s="18" t="s">
        <v>88</v>
      </c>
      <c r="M9" s="2"/>
    </row>
    <row r="10" customFormat="false" ht="15" hidden="false" customHeight="false" outlineLevel="0" collapsed="false">
      <c r="A10" s="15" t="n">
        <v>46257</v>
      </c>
      <c r="B10" s="16" t="s">
        <v>51</v>
      </c>
      <c r="C10" s="16" t="s">
        <v>52</v>
      </c>
      <c r="D10" s="16" t="s">
        <v>89</v>
      </c>
      <c r="E10" s="16" t="s">
        <v>90</v>
      </c>
      <c r="F10" s="16" t="s">
        <v>55</v>
      </c>
      <c r="G10" s="16"/>
      <c r="H10" s="15" t="n">
        <v>46261</v>
      </c>
      <c r="I10" s="17" t="n">
        <f aca="false">IF(OR(ISNUMBER(SEARCH("Won",F10)),G10="Won"),1,0)</f>
        <v>0</v>
      </c>
      <c r="J10" s="17" t="n">
        <f aca="false">IF(H10="","",H10-A10)</f>
        <v>4</v>
      </c>
      <c r="K10" s="18" t="s">
        <v>91</v>
      </c>
      <c r="L10" s="18" t="s">
        <v>92</v>
      </c>
      <c r="M10" s="2"/>
    </row>
    <row r="11" customFormat="false" ht="15" hidden="false" customHeight="false" outlineLevel="0" collapsed="false">
      <c r="A11" s="15" t="n">
        <v>46268</v>
      </c>
      <c r="B11" s="16" t="s">
        <v>93</v>
      </c>
      <c r="C11" s="16" t="s">
        <v>79</v>
      </c>
      <c r="D11" s="16" t="s">
        <v>94</v>
      </c>
      <c r="E11" s="16" t="s">
        <v>95</v>
      </c>
      <c r="F11" s="16" t="s">
        <v>96</v>
      </c>
      <c r="G11" s="16" t="s">
        <v>11</v>
      </c>
      <c r="H11" s="15"/>
      <c r="I11" s="17" t="n">
        <f aca="false">IF(OR(ISNUMBER(SEARCH("Won",F11)),G11="Won"),1,0)</f>
        <v>1</v>
      </c>
      <c r="J11" s="17" t="str">
        <f aca="false">IF(H11="","",H11-A11)</f>
        <v/>
      </c>
      <c r="K11" s="18" t="s">
        <v>97</v>
      </c>
      <c r="L11" s="18" t="s">
        <v>98</v>
      </c>
      <c r="M11" s="15" t="n">
        <v>46283</v>
      </c>
    </row>
    <row r="12" customFormat="false" ht="15" hidden="false" customHeight="false" outlineLevel="0" collapsed="false">
      <c r="A12" s="15" t="n">
        <v>46269</v>
      </c>
      <c r="B12" s="16" t="s">
        <v>93</v>
      </c>
      <c r="C12" s="16" t="s">
        <v>52</v>
      </c>
      <c r="D12" s="16" t="s">
        <v>99</v>
      </c>
      <c r="E12" s="16" t="s">
        <v>100</v>
      </c>
      <c r="F12" s="16" t="s">
        <v>96</v>
      </c>
      <c r="G12" s="16" t="s">
        <v>11</v>
      </c>
      <c r="H12" s="15" t="n">
        <v>46271</v>
      </c>
      <c r="I12" s="17" t="n">
        <f aca="false">IF(OR(ISNUMBER(SEARCH("Won",F12)),G12="Won"),1,0)</f>
        <v>1</v>
      </c>
      <c r="J12" s="17" t="n">
        <f aca="false">IF(H12="","",H12-A12)</f>
        <v>2</v>
      </c>
      <c r="K12" s="18" t="s">
        <v>101</v>
      </c>
      <c r="L12" s="18" t="s">
        <v>102</v>
      </c>
      <c r="M12" s="15" t="n">
        <v>46273</v>
      </c>
    </row>
    <row r="13" customFormat="false" ht="15" hidden="false" customHeight="false" outlineLevel="0" collapsed="false">
      <c r="A13" s="15" t="n">
        <v>46271</v>
      </c>
      <c r="B13" s="16" t="s">
        <v>51</v>
      </c>
      <c r="C13" s="16" t="s">
        <v>52</v>
      </c>
      <c r="D13" s="16" t="s">
        <v>103</v>
      </c>
      <c r="E13" s="16" t="s">
        <v>104</v>
      </c>
      <c r="F13" s="16" t="s">
        <v>55</v>
      </c>
      <c r="G13" s="16"/>
      <c r="H13" s="15" t="n">
        <v>46271</v>
      </c>
      <c r="I13" s="17" t="n">
        <f aca="false">IF(OR(ISNUMBER(SEARCH("Won",F13)),G13="Won"),1,0)</f>
        <v>0</v>
      </c>
      <c r="J13" s="17" t="n">
        <f aca="false">IF(H13="","",H13-A13)</f>
        <v>0</v>
      </c>
      <c r="K13" s="18" t="s">
        <v>105</v>
      </c>
      <c r="L13" s="18" t="s">
        <v>106</v>
      </c>
      <c r="M13" s="2"/>
    </row>
    <row r="14" customFormat="false" ht="15" hidden="false" customHeight="false" outlineLevel="0" collapsed="false">
      <c r="A14" s="15" t="n">
        <v>46275</v>
      </c>
      <c r="B14" s="16" t="s">
        <v>93</v>
      </c>
      <c r="C14" s="16" t="s">
        <v>52</v>
      </c>
      <c r="D14" s="16" t="s">
        <v>107</v>
      </c>
      <c r="E14" s="16" t="s">
        <v>108</v>
      </c>
      <c r="F14" s="16" t="s">
        <v>55</v>
      </c>
      <c r="G14" s="16"/>
      <c r="H14" s="15" t="n">
        <v>46281</v>
      </c>
      <c r="I14" s="17" t="n">
        <f aca="false">IF(OR(ISNUMBER(SEARCH("Won",F14)),G14="Won"),1,0)</f>
        <v>0</v>
      </c>
      <c r="J14" s="17" t="n">
        <f aca="false">IF(H14="","",H14-A14)</f>
        <v>6</v>
      </c>
      <c r="K14" s="18" t="s">
        <v>109</v>
      </c>
      <c r="L14" s="18" t="s">
        <v>110</v>
      </c>
      <c r="M14" s="2"/>
    </row>
    <row r="15" customFormat="false" ht="15" hidden="false" customHeight="false" outlineLevel="0" collapsed="false">
      <c r="A15" s="15" t="n">
        <v>46280</v>
      </c>
      <c r="B15" s="16" t="s">
        <v>51</v>
      </c>
      <c r="C15" s="16" t="s">
        <v>52</v>
      </c>
      <c r="D15" s="16" t="s">
        <v>111</v>
      </c>
      <c r="E15" s="16" t="s">
        <v>112</v>
      </c>
      <c r="F15" s="16" t="s">
        <v>55</v>
      </c>
      <c r="G15" s="16"/>
      <c r="H15" s="15" t="n">
        <v>46281</v>
      </c>
      <c r="I15" s="17" t="n">
        <f aca="false">IF(OR(ISNUMBER(SEARCH("Won",F15)),G15="Won"),1,0)</f>
        <v>0</v>
      </c>
      <c r="J15" s="17" t="n">
        <f aca="false">IF(H15="","",H15-A15)</f>
        <v>1</v>
      </c>
      <c r="K15" s="18" t="s">
        <v>113</v>
      </c>
      <c r="L15" s="18" t="s">
        <v>114</v>
      </c>
      <c r="M15" s="2"/>
    </row>
    <row r="16" customFormat="false" ht="15" hidden="false" customHeight="false" outlineLevel="0" collapsed="false">
      <c r="A16" s="15" t="n">
        <v>46281</v>
      </c>
      <c r="B16" s="16" t="s">
        <v>51</v>
      </c>
      <c r="C16" s="16" t="s">
        <v>52</v>
      </c>
      <c r="D16" s="16" t="s">
        <v>115</v>
      </c>
      <c r="E16" s="16" t="s">
        <v>116</v>
      </c>
      <c r="F16" s="16" t="s">
        <v>55</v>
      </c>
      <c r="G16" s="16"/>
      <c r="H16" s="15" t="n">
        <v>46283</v>
      </c>
      <c r="I16" s="17" t="n">
        <f aca="false">IF(OR(ISNUMBER(SEARCH("Won",F16)),G16="Won"),1,0)</f>
        <v>0</v>
      </c>
      <c r="J16" s="17" t="n">
        <f aca="false">IF(H16="","",H16-A16)</f>
        <v>2</v>
      </c>
      <c r="K16" s="18" t="s">
        <v>117</v>
      </c>
      <c r="L16" s="18" t="s">
        <v>118</v>
      </c>
      <c r="M16" s="2"/>
    </row>
    <row r="17" customFormat="false" ht="15" hidden="false" customHeight="false" outlineLevel="0" collapsed="false">
      <c r="A17" s="15" t="n">
        <v>46286</v>
      </c>
      <c r="B17" s="16" t="s">
        <v>51</v>
      </c>
      <c r="C17" s="16" t="s">
        <v>52</v>
      </c>
      <c r="D17" s="16" t="s">
        <v>119</v>
      </c>
      <c r="E17" s="16" t="s">
        <v>120</v>
      </c>
      <c r="F17" s="16" t="s">
        <v>55</v>
      </c>
      <c r="G17" s="16"/>
      <c r="H17" s="15" t="n">
        <v>46287</v>
      </c>
      <c r="I17" s="17" t="n">
        <f aca="false">IF(OR(ISNUMBER(SEARCH("Won",F17)),G17="Won"),1,0)</f>
        <v>0</v>
      </c>
      <c r="J17" s="17" t="n">
        <f aca="false">IF(H17="","",H17-A17)</f>
        <v>1</v>
      </c>
      <c r="K17" s="18" t="s">
        <v>121</v>
      </c>
      <c r="L17" s="18" t="s">
        <v>122</v>
      </c>
      <c r="M17" s="2"/>
    </row>
    <row r="18" customFormat="false" ht="15" hidden="false" customHeight="false" outlineLevel="0" collapsed="false">
      <c r="A18" s="15" t="n">
        <v>46290</v>
      </c>
      <c r="B18" s="16" t="s">
        <v>51</v>
      </c>
      <c r="C18" s="16" t="s">
        <v>52</v>
      </c>
      <c r="D18" s="16" t="s">
        <v>123</v>
      </c>
      <c r="E18" s="16" t="s">
        <v>124</v>
      </c>
      <c r="F18" s="16" t="s">
        <v>55</v>
      </c>
      <c r="G18" s="16" t="s">
        <v>82</v>
      </c>
      <c r="H18" s="15" t="n">
        <v>46297</v>
      </c>
      <c r="I18" s="17" t="n">
        <f aca="false">IF(OR(ISNUMBER(SEARCH("Won",F18)),G18="Won"),1,0)</f>
        <v>0</v>
      </c>
      <c r="J18" s="17" t="n">
        <f aca="false">IF(H18="","",H18-A18)</f>
        <v>7</v>
      </c>
      <c r="K18" s="18" t="s">
        <v>125</v>
      </c>
      <c r="L18" s="18" t="s">
        <v>126</v>
      </c>
      <c r="M18" s="2"/>
    </row>
    <row r="19" customFormat="false" ht="15" hidden="false" customHeight="false" outlineLevel="0" collapsed="false">
      <c r="A19" s="15" t="n">
        <v>46295</v>
      </c>
      <c r="B19" s="16" t="s">
        <v>51</v>
      </c>
      <c r="C19" s="16" t="s">
        <v>79</v>
      </c>
      <c r="D19" s="16" t="s">
        <v>127</v>
      </c>
      <c r="E19" s="16" t="s">
        <v>128</v>
      </c>
      <c r="F19" s="16" t="s">
        <v>55</v>
      </c>
      <c r="G19" s="16" t="s">
        <v>129</v>
      </c>
      <c r="H19" s="15" t="n">
        <v>46295</v>
      </c>
      <c r="I19" s="17" t="n">
        <f aca="false">IF(OR(ISNUMBER(SEARCH("Won",F19)),G19="Won"),1,0)</f>
        <v>0</v>
      </c>
      <c r="J19" s="17" t="n">
        <f aca="false">IF(H19="","",H19-A19)</f>
        <v>0</v>
      </c>
      <c r="K19" s="18" t="s">
        <v>130</v>
      </c>
      <c r="L19" s="18" t="s">
        <v>131</v>
      </c>
      <c r="M19" s="2"/>
    </row>
    <row r="20" customFormat="false" ht="15" hidden="false" customHeight="false" outlineLevel="0" collapsed="false">
      <c r="A20" s="15" t="n">
        <v>46295</v>
      </c>
      <c r="B20" s="16" t="s">
        <v>51</v>
      </c>
      <c r="C20" s="16" t="s">
        <v>52</v>
      </c>
      <c r="D20" s="16" t="s">
        <v>132</v>
      </c>
      <c r="E20" s="16" t="s">
        <v>133</v>
      </c>
      <c r="F20" s="16" t="s">
        <v>55</v>
      </c>
      <c r="G20" s="16" t="s">
        <v>82</v>
      </c>
      <c r="H20" s="15" t="n">
        <v>46298</v>
      </c>
      <c r="I20" s="17" t="n">
        <f aca="false">IF(OR(ISNUMBER(SEARCH("Won",F20)),G20="Won"),1,0)</f>
        <v>0</v>
      </c>
      <c r="J20" s="17" t="n">
        <f aca="false">IF(H20="","",H20-A20)</f>
        <v>3</v>
      </c>
      <c r="K20" s="18" t="s">
        <v>134</v>
      </c>
      <c r="L20" s="18" t="s">
        <v>135</v>
      </c>
      <c r="M20" s="2"/>
    </row>
    <row r="21" customFormat="false" ht="15" hidden="false" customHeight="false" outlineLevel="0" collapsed="false">
      <c r="A21" s="15" t="n">
        <v>46297</v>
      </c>
      <c r="B21" s="16" t="s">
        <v>51</v>
      </c>
      <c r="C21" s="16" t="s">
        <v>52</v>
      </c>
      <c r="D21" s="16" t="s">
        <v>136</v>
      </c>
      <c r="E21" s="16" t="s">
        <v>137</v>
      </c>
      <c r="F21" s="16" t="s">
        <v>55</v>
      </c>
      <c r="G21" s="16" t="s">
        <v>82</v>
      </c>
      <c r="H21" s="15" t="n">
        <v>46298</v>
      </c>
      <c r="I21" s="17" t="n">
        <f aca="false">IF(OR(ISNUMBER(SEARCH("Won",F21)),G21="Won"),1,0)</f>
        <v>0</v>
      </c>
      <c r="J21" s="17" t="n">
        <f aca="false">IF(H21="","",H21-A21)</f>
        <v>1</v>
      </c>
      <c r="K21" s="18" t="s">
        <v>138</v>
      </c>
      <c r="L21" s="18" t="s">
        <v>139</v>
      </c>
      <c r="M21" s="2"/>
    </row>
    <row r="22" customFormat="false" ht="15" hidden="false" customHeight="false" outlineLevel="0" collapsed="false">
      <c r="A22" s="15" t="n">
        <v>46299</v>
      </c>
      <c r="B22" s="16" t="s">
        <v>51</v>
      </c>
      <c r="C22" s="16" t="s">
        <v>52</v>
      </c>
      <c r="D22" s="16" t="s">
        <v>140</v>
      </c>
      <c r="E22" s="16" t="s">
        <v>141</v>
      </c>
      <c r="F22" s="16" t="s">
        <v>55</v>
      </c>
      <c r="G22" s="16"/>
      <c r="H22" s="15" t="n">
        <v>46301</v>
      </c>
      <c r="I22" s="17" t="n">
        <f aca="false">IF(OR(ISNUMBER(SEARCH("Won",F22)),G22="Won"),1,0)</f>
        <v>0</v>
      </c>
      <c r="J22" s="17" t="n">
        <f aca="false">IF(H22="","",H22-A22)</f>
        <v>2</v>
      </c>
      <c r="K22" s="18" t="s">
        <v>142</v>
      </c>
      <c r="L22" s="18" t="s">
        <v>143</v>
      </c>
      <c r="M22" s="2"/>
    </row>
    <row r="23" customFormat="false" ht="15" hidden="false" customHeight="false" outlineLevel="0" collapsed="false">
      <c r="A23" s="15" t="n">
        <v>46299</v>
      </c>
      <c r="B23" s="16" t="s">
        <v>144</v>
      </c>
      <c r="C23" s="16" t="s">
        <v>52</v>
      </c>
      <c r="D23" s="16" t="s">
        <v>145</v>
      </c>
      <c r="E23" s="16" t="s">
        <v>146</v>
      </c>
      <c r="F23" s="16" t="s">
        <v>55</v>
      </c>
      <c r="G23" s="16"/>
      <c r="H23" s="15" t="n">
        <v>46299</v>
      </c>
      <c r="I23" s="17" t="n">
        <f aca="false">IF(OR(ISNUMBER(SEARCH("Won",F23)),G23="Won"),1,0)</f>
        <v>0</v>
      </c>
      <c r="J23" s="17" t="n">
        <f aca="false">IF(H23="","",H23-A23)</f>
        <v>0</v>
      </c>
      <c r="K23" s="18" t="s">
        <v>147</v>
      </c>
      <c r="L23" s="18" t="s">
        <v>148</v>
      </c>
      <c r="M23" s="2"/>
    </row>
    <row r="24" customFormat="false" ht="15" hidden="false" customHeight="false" outlineLevel="0" collapsed="false">
      <c r="A24" s="15" t="n">
        <v>46307</v>
      </c>
      <c r="B24" s="16" t="s">
        <v>149</v>
      </c>
      <c r="C24" s="16" t="s">
        <v>79</v>
      </c>
      <c r="D24" s="16" t="s">
        <v>150</v>
      </c>
      <c r="E24" s="16" t="s">
        <v>151</v>
      </c>
      <c r="F24" s="16" t="s">
        <v>96</v>
      </c>
      <c r="G24" s="16" t="s">
        <v>11</v>
      </c>
      <c r="H24" s="15" t="n">
        <v>46307</v>
      </c>
      <c r="I24" s="17" t="n">
        <f aca="false">IF(OR(ISNUMBER(SEARCH("Won",F24)),G24="Won"),1,0)</f>
        <v>1</v>
      </c>
      <c r="J24" s="17" t="n">
        <f aca="false">IF(H24="","",H24-A24)</f>
        <v>0</v>
      </c>
      <c r="K24" s="18" t="s">
        <v>152</v>
      </c>
      <c r="L24" s="18" t="s">
        <v>153</v>
      </c>
      <c r="M24" s="15" t="n">
        <v>46308</v>
      </c>
    </row>
    <row r="25" customFormat="false" ht="15" hidden="false" customHeight="false" outlineLevel="0" collapsed="false">
      <c r="A25" s="15" t="n">
        <v>46312</v>
      </c>
      <c r="B25" s="16" t="s">
        <v>51</v>
      </c>
      <c r="C25" s="16" t="s">
        <v>52</v>
      </c>
      <c r="D25" s="16" t="s">
        <v>154</v>
      </c>
      <c r="E25" s="16" t="s">
        <v>155</v>
      </c>
      <c r="F25" s="16" t="s">
        <v>55</v>
      </c>
      <c r="G25" s="16" t="s">
        <v>156</v>
      </c>
      <c r="H25" s="15" t="n">
        <v>46312</v>
      </c>
      <c r="I25" s="17" t="n">
        <f aca="false">IF(OR(ISNUMBER(SEARCH("Won",F25)),G25="Won"),1,0)</f>
        <v>0</v>
      </c>
      <c r="J25" s="17" t="n">
        <f aca="false">IF(H25="","",H25-A25)</f>
        <v>0</v>
      </c>
      <c r="K25" s="18" t="s">
        <v>157</v>
      </c>
      <c r="L25" s="18" t="s">
        <v>158</v>
      </c>
      <c r="M25" s="2"/>
    </row>
    <row r="26" customFormat="false" ht="15" hidden="false" customHeight="false" outlineLevel="0" collapsed="false">
      <c r="A26" s="15" t="n">
        <v>46314</v>
      </c>
      <c r="B26" s="16" t="s">
        <v>93</v>
      </c>
      <c r="C26" s="16" t="s">
        <v>79</v>
      </c>
      <c r="D26" s="16" t="s">
        <v>159</v>
      </c>
      <c r="E26" s="16" t="s">
        <v>160</v>
      </c>
      <c r="F26" s="16" t="s">
        <v>55</v>
      </c>
      <c r="G26" s="16"/>
      <c r="H26" s="15" t="n">
        <v>46314</v>
      </c>
      <c r="I26" s="17" t="n">
        <f aca="false">IF(OR(ISNUMBER(SEARCH("Won",F26)),G26="Won"),1,0)</f>
        <v>0</v>
      </c>
      <c r="J26" s="17" t="n">
        <f aca="false">IF(H26="","",H26-A26)</f>
        <v>0</v>
      </c>
      <c r="K26" s="18" t="s">
        <v>161</v>
      </c>
      <c r="L26" s="18" t="s">
        <v>162</v>
      </c>
      <c r="M26" s="2"/>
    </row>
    <row r="27" customFormat="false" ht="15" hidden="false" customHeight="false" outlineLevel="0" collapsed="false">
      <c r="A27" s="19" t="s">
        <v>163</v>
      </c>
      <c r="B27" s="20"/>
      <c r="C27" s="20"/>
      <c r="D27" s="19" t="n">
        <f aca="false">COUNTA(D2:D26)</f>
        <v>25</v>
      </c>
      <c r="E27" s="20"/>
      <c r="F27" s="20"/>
      <c r="G27" s="20"/>
      <c r="H27" s="20"/>
      <c r="I27" s="19" t="n">
        <f aca="false">SUM(I2:I26)</f>
        <v>3</v>
      </c>
      <c r="J27" s="21" t="n">
        <f aca="false">AVERAGE(J2:J26)</f>
        <v>4.25</v>
      </c>
      <c r="K27" s="20"/>
      <c r="L27" s="20"/>
      <c r="M27" s="20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3" t="s">
        <v>164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hyperlinks>
    <hyperlink ref="K2" r:id="rId2" display="https://app.notion.com/p/3aebd8b60a6380ffae17f7a8640b3a9f"/>
    <hyperlink ref="L2" r:id="rId3" display="https://app.notion.com/p/3babd8b60a6381d7a9fadb59a24e4ab4"/>
    <hyperlink ref="K3" r:id="rId4" display="https://app.notion.com/p/3b1bd8b60a6380fe8972fba06776352c"/>
    <hyperlink ref="L3" r:id="rId5" display="https://app.notion.com/p/3b1bd8b60a6381d5b12bef45d16ee5c7"/>
    <hyperlink ref="K4" r:id="rId6" display="https://app.notion.com/p/3b6bd8b60a6380c3a9d4cd6fc4e0d4ba"/>
    <hyperlink ref="L4" r:id="rId7" display="https://app.notion.com/p/3b8bd8b60a6381939f0cd23fb0bc08cf"/>
    <hyperlink ref="K5" r:id="rId8" display="https://app.notion.com/p/3b6bd8b60a6380b58dffcf1fb2048c16"/>
    <hyperlink ref="L5" r:id="rId9" display="https://app.notion.com/p/3babd8b60a638162859ceafb39eec6ef"/>
    <hyperlink ref="K6" r:id="rId10" display="https://app.notion.com/p/3bcbd8b60a638036999afddb9f2997df"/>
    <hyperlink ref="L6" r:id="rId11" display="https://app.notion.com/p/3bcbd8b60a63815abc31ccd14e852a23"/>
    <hyperlink ref="K7" r:id="rId12" display="https://app.notion.com/p/3bfbd8b60a638059bc48fcfbfe32712d"/>
    <hyperlink ref="L7" r:id="rId13" display="https://app.notion.com/p/3bfbd8b60a638121bb3ef3c819d9a781"/>
    <hyperlink ref="K8" r:id="rId14" display="https://app.notion.com/p/3f4bd8b60a6380979690d118872c5fe7"/>
    <hyperlink ref="L8" r:id="rId15" display="https://app.notion.com/p/3f4bd8b60a6381d99b8ce80422adedf3"/>
    <hyperlink ref="K9" r:id="rId16" display="https://app.notion.com/p/3c1bd8b60a6380e68ff5e16d9dc90a05"/>
    <hyperlink ref="L9" r:id="rId17" display="https://app.notion.com/p/3c3bd8b60a6381c485e8f231672ce4c5"/>
    <hyperlink ref="K10" r:id="rId18" display="https://app.notion.com/p/3c5bd8b60a6380f9beffec7f6ebf7bcc"/>
    <hyperlink ref="L10" r:id="rId19" display="https://app.notion.com/p/3c9bd8b60a6381bcb17ee7bea7f0dbd1"/>
    <hyperlink ref="K11" r:id="rId20" display="https://app.notion.com/p/3ffbd8b60a638145bda3f714ba95b244"/>
    <hyperlink ref="L11" r:id="rId21" display="https://app.notion.com/p/3ffbd8b60a6381b08276f6ac45a7b9f9"/>
    <hyperlink ref="K12" r:id="rId22" display="https://app.notion.com/p/3d1bd8b60a6380f8b80af7ded3b1d693"/>
    <hyperlink ref="L12" r:id="rId23" display="https://app.notion.com/p/3d3bd8b60a63812c9b83c241d0759778"/>
    <hyperlink ref="K13" r:id="rId24" display="https://app.notion.com/p/3d2bd8b60a6380239fbbf2e5caf3535b"/>
    <hyperlink ref="L13" r:id="rId25" display="https://app.notion.com/p/3d3bd8b60a6381b88a86eeb3ed090c66"/>
    <hyperlink ref="K14" r:id="rId26" display="https://app.notion.com/p/3d7bd8b60a6380d09a13c7ea99f5c73d"/>
    <hyperlink ref="L14" r:id="rId27" display="https://app.notion.com/p/3ddbd8b60a638178b0c7e3683708efe0"/>
    <hyperlink ref="K15" r:id="rId28" display="https://app.notion.com/p/3dcbd8b60a6380e2b52cf7954feedfe4"/>
    <hyperlink ref="L15" r:id="rId29" display="https://app.notion.com/p/3ddbd8b60a6381baa7b1f0a2af8af605"/>
    <hyperlink ref="K16" r:id="rId30" display="https://app.notion.com/p/3ddbd8b60a6380b3ac7afeb14ac92545"/>
    <hyperlink ref="L16" r:id="rId31" display="https://app.notion.com/p/3dfbd8b60a638185ab0cec5a8d146a51"/>
    <hyperlink ref="K17" r:id="rId32" display="https://app.notion.com/p/3e2bd8b60a6380dd8ae2d1f13da0c938"/>
    <hyperlink ref="L17" r:id="rId33" display="https://app.notion.com/p/3e2bd8b60a63819d908fe4dfdd23e43a"/>
    <hyperlink ref="K18" r:id="rId34" display="https://app.notion.com/p/3e6bd8b60a63805f9b19cbdf75e9db07"/>
    <hyperlink ref="L18" r:id="rId35" display="https://app.notion.com/p/3edbd8b60a6381beaaefdda254fc9bdd"/>
    <hyperlink ref="K19" r:id="rId36" display="https://app.notion.com/p/3ebbd8b60a63806baf49fc5adfddb1f7"/>
    <hyperlink ref="L19" r:id="rId37" display="https://app.notion.com/p/3ebbd8b60a6381d8b49ae30dfc77e68f"/>
    <hyperlink ref="K20" r:id="rId38" display="https://app.notion.com/p/3ebbd8b60a63809a96abd3aef15d0a3a"/>
    <hyperlink ref="L20" r:id="rId39" display="https://app.notion.com/p/3edbd8b60a638155a8bbc9626f125089"/>
    <hyperlink ref="K21" r:id="rId40" display="https://app.notion.com/p/3edbd8b60a6380be9060ed914eb29833"/>
    <hyperlink ref="L21" r:id="rId41" display="https://app.notion.com/p/3edbd8b60a63819291d2cda5658a5b85"/>
    <hyperlink ref="K22" r:id="rId42" display="https://app.notion.com/p/3efbd8b60a638082810dc2c800331cd9"/>
    <hyperlink ref="L22" r:id="rId43" display="https://app.notion.com/p/3f1bd8b60a638190b44fd0aa570788e3"/>
    <hyperlink ref="K23" r:id="rId44" display="https://app.notion.com/p/3efbd8b60a6380c89a41ed9957e880d0"/>
    <hyperlink ref="L23" r:id="rId45" display="https://app.notion.com/p/3efbd8b60a638180a8fdceec5de0cf41"/>
    <hyperlink ref="K24" r:id="rId46" display="https://app.notion.com/p/3f7bd8b60a638005ac71ff3702d1cc69"/>
    <hyperlink ref="L24" r:id="rId47" display="https://app.notion.com/p/3f7bd8b60a6381a98a0beffc50495ba7"/>
    <hyperlink ref="K25" r:id="rId48" display="https://app.notion.com/p/3fbbd8b60a6380cfa966da65cf868718"/>
    <hyperlink ref="L25" r:id="rId49" display="https://app.notion.com/p/3fcbd8b60a63818fb584f73da73ebad6"/>
    <hyperlink ref="K26" r:id="rId50" display="https://app.notion.com/p/3febd8b60a63802fa6f7e12a6dba6554"/>
    <hyperlink ref="L26" r:id="rId51" display="https://app.notion.com/p/3febd8b60a6381deb4bef9ab2288aa0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4" t="s">
        <v>165</v>
      </c>
      <c r="B1" s="4" t="s">
        <v>166</v>
      </c>
      <c r="C1" s="4" t="s">
        <v>39</v>
      </c>
      <c r="D1" s="4" t="s">
        <v>26</v>
      </c>
      <c r="E1" s="4" t="s">
        <v>10</v>
      </c>
      <c r="F1" s="4" t="s">
        <v>11</v>
      </c>
      <c r="G1" s="4" t="s">
        <v>167</v>
      </c>
    </row>
    <row r="2" customFormat="false" ht="15" hidden="false" customHeight="false" outlineLevel="0" collapsed="false">
      <c r="A2" s="15" t="n">
        <v>46023</v>
      </c>
      <c r="B2" s="16" t="s">
        <v>168</v>
      </c>
      <c r="C2" s="16" t="s">
        <v>144</v>
      </c>
      <c r="D2" s="16" t="n">
        <v>57</v>
      </c>
      <c r="E2" s="16" t="n">
        <v>6</v>
      </c>
      <c r="F2" s="16" t="n">
        <v>1</v>
      </c>
      <c r="G2" s="16" t="s">
        <v>169</v>
      </c>
    </row>
    <row r="3" customFormat="false" ht="15" hidden="false" customHeight="false" outlineLevel="0" collapsed="false">
      <c r="A3" s="15" t="n">
        <v>46023</v>
      </c>
      <c r="B3" s="16" t="s">
        <v>168</v>
      </c>
      <c r="C3" s="16" t="s">
        <v>93</v>
      </c>
      <c r="D3" s="16" t="n">
        <v>87</v>
      </c>
      <c r="E3" s="16" t="n">
        <v>13</v>
      </c>
      <c r="F3" s="16" t="n">
        <v>2</v>
      </c>
      <c r="G3" s="16" t="s">
        <v>169</v>
      </c>
    </row>
    <row r="4" customFormat="false" ht="15" hidden="false" customHeight="false" outlineLevel="0" collapsed="false">
      <c r="A4" s="15" t="n">
        <v>46023</v>
      </c>
      <c r="B4" s="16" t="s">
        <v>168</v>
      </c>
      <c r="C4" s="16" t="s">
        <v>149</v>
      </c>
      <c r="D4" s="16" t="n">
        <v>45</v>
      </c>
      <c r="E4" s="16" t="n">
        <v>2</v>
      </c>
      <c r="F4" s="16" t="n">
        <v>0</v>
      </c>
      <c r="G4" s="16" t="s">
        <v>169</v>
      </c>
    </row>
    <row r="5" customFormat="false" ht="15" hidden="false" customHeight="false" outlineLevel="0" collapsed="false">
      <c r="A5" s="15" t="n">
        <v>46023</v>
      </c>
      <c r="B5" s="16" t="s">
        <v>168</v>
      </c>
      <c r="C5" s="16" t="s">
        <v>51</v>
      </c>
      <c r="D5" s="16" t="n">
        <v>142</v>
      </c>
      <c r="E5" s="16" t="n">
        <v>14</v>
      </c>
      <c r="F5" s="16" t="n">
        <v>3</v>
      </c>
      <c r="G5" s="16" t="s">
        <v>169</v>
      </c>
    </row>
    <row r="6" customFormat="false" ht="15" hidden="false" customHeight="false" outlineLevel="0" collapsed="false">
      <c r="A6" s="15" t="n">
        <v>46023</v>
      </c>
      <c r="B6" s="16" t="s">
        <v>168</v>
      </c>
      <c r="C6" s="16" t="s">
        <v>170</v>
      </c>
      <c r="D6" s="16" t="n">
        <v>3</v>
      </c>
      <c r="E6" s="16" t="n">
        <v>0</v>
      </c>
      <c r="F6" s="16" t="n">
        <v>0</v>
      </c>
      <c r="G6" s="16" t="s">
        <v>169</v>
      </c>
    </row>
    <row r="7" customFormat="false" ht="15" hidden="false" customHeight="false" outlineLevel="0" collapsed="false">
      <c r="A7" s="15" t="n">
        <v>46023</v>
      </c>
      <c r="B7" s="16" t="s">
        <v>168</v>
      </c>
      <c r="C7" s="16" t="s">
        <v>171</v>
      </c>
      <c r="D7" s="16" t="n">
        <v>1</v>
      </c>
      <c r="E7" s="16" t="n">
        <v>0</v>
      </c>
      <c r="F7" s="16" t="n">
        <v>0</v>
      </c>
      <c r="G7" s="16" t="s">
        <v>169</v>
      </c>
    </row>
    <row r="8" customFormat="false" ht="15" hidden="false" customHeight="false" outlineLevel="0" collapsed="false">
      <c r="A8" s="15" t="n">
        <v>46054</v>
      </c>
      <c r="B8" s="16" t="s">
        <v>172</v>
      </c>
      <c r="C8" s="16" t="s">
        <v>144</v>
      </c>
      <c r="D8" s="16" t="n">
        <v>41</v>
      </c>
      <c r="E8" s="16" t="n">
        <v>7</v>
      </c>
      <c r="F8" s="16" t="n">
        <v>1</v>
      </c>
      <c r="G8" s="16" t="s">
        <v>169</v>
      </c>
    </row>
    <row r="9" customFormat="false" ht="15" hidden="false" customHeight="false" outlineLevel="0" collapsed="false">
      <c r="A9" s="15" t="n">
        <v>46054</v>
      </c>
      <c r="B9" s="16" t="s">
        <v>172</v>
      </c>
      <c r="C9" s="16" t="s">
        <v>93</v>
      </c>
      <c r="D9" s="16" t="n">
        <v>123</v>
      </c>
      <c r="E9" s="16" t="n">
        <v>17</v>
      </c>
      <c r="F9" s="16" t="n">
        <v>4</v>
      </c>
      <c r="G9" s="16" t="s">
        <v>169</v>
      </c>
    </row>
    <row r="10" customFormat="false" ht="15" hidden="false" customHeight="false" outlineLevel="0" collapsed="false">
      <c r="A10" s="15" t="n">
        <v>46054</v>
      </c>
      <c r="B10" s="16" t="s">
        <v>172</v>
      </c>
      <c r="C10" s="16" t="s">
        <v>149</v>
      </c>
      <c r="D10" s="16" t="n">
        <v>47</v>
      </c>
      <c r="E10" s="16" t="n">
        <v>4</v>
      </c>
      <c r="F10" s="16" t="n">
        <v>0</v>
      </c>
      <c r="G10" s="16" t="s">
        <v>169</v>
      </c>
    </row>
    <row r="11" customFormat="false" ht="15" hidden="false" customHeight="false" outlineLevel="0" collapsed="false">
      <c r="A11" s="15" t="n">
        <v>46054</v>
      </c>
      <c r="B11" s="16" t="s">
        <v>172</v>
      </c>
      <c r="C11" s="16" t="s">
        <v>51</v>
      </c>
      <c r="D11" s="16" t="n">
        <v>143</v>
      </c>
      <c r="E11" s="16" t="n">
        <v>20</v>
      </c>
      <c r="F11" s="16" t="n">
        <v>0</v>
      </c>
      <c r="G11" s="16" t="s">
        <v>169</v>
      </c>
    </row>
    <row r="12" customFormat="false" ht="15" hidden="false" customHeight="false" outlineLevel="0" collapsed="false">
      <c r="A12" s="15" t="n">
        <v>46054</v>
      </c>
      <c r="B12" s="16" t="s">
        <v>172</v>
      </c>
      <c r="C12" s="16" t="s">
        <v>170</v>
      </c>
      <c r="D12" s="16" t="n">
        <v>2</v>
      </c>
      <c r="E12" s="16" t="n">
        <v>1</v>
      </c>
      <c r="F12" s="16" t="n">
        <v>0</v>
      </c>
      <c r="G12" s="16" t="s">
        <v>169</v>
      </c>
    </row>
    <row r="13" customFormat="false" ht="15" hidden="false" customHeight="false" outlineLevel="0" collapsed="false">
      <c r="A13" s="15" t="n">
        <v>46054</v>
      </c>
      <c r="B13" s="16" t="s">
        <v>172</v>
      </c>
      <c r="C13" s="16" t="s">
        <v>171</v>
      </c>
      <c r="D13" s="16" t="n">
        <v>2</v>
      </c>
      <c r="E13" s="16" t="n">
        <v>0</v>
      </c>
      <c r="F13" s="16" t="n">
        <v>0</v>
      </c>
      <c r="G13" s="16" t="s">
        <v>169</v>
      </c>
    </row>
    <row r="14" customFormat="false" ht="15" hidden="false" customHeight="false" outlineLevel="0" collapsed="false">
      <c r="A14" s="15" t="n">
        <v>46082</v>
      </c>
      <c r="B14" s="16" t="s">
        <v>173</v>
      </c>
      <c r="C14" s="16" t="s">
        <v>144</v>
      </c>
      <c r="D14" s="16" t="n">
        <v>26</v>
      </c>
      <c r="E14" s="16" t="n">
        <v>3</v>
      </c>
      <c r="F14" s="16" t="n">
        <v>1</v>
      </c>
      <c r="G14" s="16" t="s">
        <v>169</v>
      </c>
    </row>
    <row r="15" customFormat="false" ht="15" hidden="false" customHeight="false" outlineLevel="0" collapsed="false">
      <c r="A15" s="15" t="n">
        <v>46082</v>
      </c>
      <c r="B15" s="16" t="s">
        <v>173</v>
      </c>
      <c r="C15" s="16" t="s">
        <v>93</v>
      </c>
      <c r="D15" s="16" t="n">
        <v>85</v>
      </c>
      <c r="E15" s="16" t="n">
        <v>2</v>
      </c>
      <c r="F15" s="16" t="n">
        <v>0</v>
      </c>
      <c r="G15" s="16" t="s">
        <v>169</v>
      </c>
    </row>
    <row r="16" customFormat="false" ht="15" hidden="false" customHeight="false" outlineLevel="0" collapsed="false">
      <c r="A16" s="15" t="n">
        <v>46082</v>
      </c>
      <c r="B16" s="16" t="s">
        <v>173</v>
      </c>
      <c r="C16" s="16" t="s">
        <v>149</v>
      </c>
      <c r="D16" s="16" t="n">
        <v>33</v>
      </c>
      <c r="E16" s="16" t="n">
        <v>2</v>
      </c>
      <c r="F16" s="16" t="n">
        <v>1</v>
      </c>
      <c r="G16" s="16" t="s">
        <v>169</v>
      </c>
    </row>
    <row r="17" customFormat="false" ht="15" hidden="false" customHeight="false" outlineLevel="0" collapsed="false">
      <c r="A17" s="15" t="n">
        <v>46082</v>
      </c>
      <c r="B17" s="16" t="s">
        <v>173</v>
      </c>
      <c r="C17" s="16" t="s">
        <v>51</v>
      </c>
      <c r="D17" s="16" t="n">
        <v>95</v>
      </c>
      <c r="E17" s="16" t="n">
        <v>5</v>
      </c>
      <c r="F17" s="16" t="n">
        <v>1</v>
      </c>
      <c r="G17" s="16" t="s">
        <v>169</v>
      </c>
    </row>
    <row r="18" customFormat="false" ht="15" hidden="false" customHeight="false" outlineLevel="0" collapsed="false">
      <c r="A18" s="15" t="n">
        <v>46082</v>
      </c>
      <c r="B18" s="16" t="s">
        <v>173</v>
      </c>
      <c r="C18" s="16" t="s">
        <v>170</v>
      </c>
      <c r="D18" s="16" t="n">
        <v>1</v>
      </c>
      <c r="E18" s="16" t="n">
        <v>0</v>
      </c>
      <c r="F18" s="16" t="n">
        <v>0</v>
      </c>
      <c r="G18" s="16" t="s">
        <v>169</v>
      </c>
    </row>
    <row r="19" customFormat="false" ht="15" hidden="false" customHeight="false" outlineLevel="0" collapsed="false">
      <c r="A19" s="15" t="n">
        <v>46113</v>
      </c>
      <c r="B19" s="16" t="s">
        <v>174</v>
      </c>
      <c r="C19" s="16" t="s">
        <v>144</v>
      </c>
      <c r="D19" s="16" t="n">
        <v>36</v>
      </c>
      <c r="E19" s="16" t="n">
        <v>1</v>
      </c>
      <c r="F19" s="16" t="n">
        <v>0</v>
      </c>
      <c r="G19" s="16" t="s">
        <v>169</v>
      </c>
    </row>
    <row r="20" customFormat="false" ht="15" hidden="false" customHeight="false" outlineLevel="0" collapsed="false">
      <c r="A20" s="15" t="n">
        <v>46113</v>
      </c>
      <c r="B20" s="16" t="s">
        <v>174</v>
      </c>
      <c r="C20" s="16" t="s">
        <v>93</v>
      </c>
      <c r="D20" s="16" t="n">
        <v>87</v>
      </c>
      <c r="E20" s="16" t="n">
        <v>2</v>
      </c>
      <c r="F20" s="16" t="n">
        <v>0</v>
      </c>
      <c r="G20" s="16" t="s">
        <v>169</v>
      </c>
    </row>
    <row r="21" customFormat="false" ht="15" hidden="false" customHeight="false" outlineLevel="0" collapsed="false">
      <c r="A21" s="15" t="n">
        <v>46113</v>
      </c>
      <c r="B21" s="16" t="s">
        <v>174</v>
      </c>
      <c r="C21" s="16" t="s">
        <v>149</v>
      </c>
      <c r="D21" s="16" t="n">
        <v>43</v>
      </c>
      <c r="E21" s="16" t="n">
        <v>2</v>
      </c>
      <c r="F21" s="16" t="n">
        <v>0</v>
      </c>
      <c r="G21" s="16" t="s">
        <v>169</v>
      </c>
    </row>
    <row r="22" customFormat="false" ht="15" hidden="false" customHeight="false" outlineLevel="0" collapsed="false">
      <c r="A22" s="15" t="n">
        <v>46113</v>
      </c>
      <c r="B22" s="16" t="s">
        <v>174</v>
      </c>
      <c r="C22" s="16" t="s">
        <v>51</v>
      </c>
      <c r="D22" s="16" t="n">
        <v>150</v>
      </c>
      <c r="E22" s="16" t="n">
        <v>8</v>
      </c>
      <c r="F22" s="16" t="n">
        <v>1</v>
      </c>
      <c r="G22" s="16" t="s">
        <v>169</v>
      </c>
    </row>
    <row r="23" customFormat="false" ht="15" hidden="false" customHeight="false" outlineLevel="0" collapsed="false">
      <c r="A23" s="15" t="n">
        <v>46113</v>
      </c>
      <c r="B23" s="16" t="s">
        <v>174</v>
      </c>
      <c r="C23" s="16" t="s">
        <v>170</v>
      </c>
      <c r="D23" s="16" t="n">
        <v>5</v>
      </c>
      <c r="E23" s="16" t="n">
        <v>1</v>
      </c>
      <c r="F23" s="16" t="n">
        <v>0</v>
      </c>
      <c r="G23" s="16" t="s">
        <v>169</v>
      </c>
    </row>
    <row r="24" customFormat="false" ht="15" hidden="false" customHeight="false" outlineLevel="0" collapsed="false">
      <c r="A24" s="15" t="n">
        <v>46143</v>
      </c>
      <c r="B24" s="16" t="s">
        <v>175</v>
      </c>
      <c r="C24" s="16" t="s">
        <v>144</v>
      </c>
      <c r="D24" s="16" t="n">
        <v>35</v>
      </c>
      <c r="E24" s="16" t="n">
        <v>1</v>
      </c>
      <c r="F24" s="16" t="n">
        <v>0</v>
      </c>
      <c r="G24" s="16" t="s">
        <v>169</v>
      </c>
    </row>
    <row r="25" customFormat="false" ht="15" hidden="false" customHeight="false" outlineLevel="0" collapsed="false">
      <c r="A25" s="15" t="n">
        <v>46143</v>
      </c>
      <c r="B25" s="16" t="s">
        <v>175</v>
      </c>
      <c r="C25" s="16" t="s">
        <v>93</v>
      </c>
      <c r="D25" s="16" t="n">
        <v>54</v>
      </c>
      <c r="E25" s="16" t="n">
        <v>3</v>
      </c>
      <c r="F25" s="16" t="n">
        <v>2</v>
      </c>
      <c r="G25" s="16" t="s">
        <v>169</v>
      </c>
    </row>
    <row r="26" customFormat="false" ht="15" hidden="false" customHeight="false" outlineLevel="0" collapsed="false">
      <c r="A26" s="15" t="n">
        <v>46143</v>
      </c>
      <c r="B26" s="16" t="s">
        <v>175</v>
      </c>
      <c r="C26" s="16" t="s">
        <v>149</v>
      </c>
      <c r="D26" s="16" t="n">
        <v>43</v>
      </c>
      <c r="E26" s="16" t="n">
        <v>1</v>
      </c>
      <c r="F26" s="16" t="n">
        <v>0</v>
      </c>
      <c r="G26" s="16" t="s">
        <v>169</v>
      </c>
    </row>
    <row r="27" customFormat="false" ht="15" hidden="false" customHeight="false" outlineLevel="0" collapsed="false">
      <c r="A27" s="15" t="n">
        <v>46143</v>
      </c>
      <c r="B27" s="16" t="s">
        <v>175</v>
      </c>
      <c r="C27" s="16" t="s">
        <v>51</v>
      </c>
      <c r="D27" s="16" t="n">
        <v>157</v>
      </c>
      <c r="E27" s="16" t="n">
        <v>16</v>
      </c>
      <c r="F27" s="16" t="n">
        <v>4</v>
      </c>
      <c r="G27" s="16" t="s">
        <v>169</v>
      </c>
    </row>
    <row r="28" customFormat="false" ht="15" hidden="false" customHeight="false" outlineLevel="0" collapsed="false">
      <c r="A28" s="15" t="n">
        <v>46143</v>
      </c>
      <c r="B28" s="16" t="s">
        <v>175</v>
      </c>
      <c r="C28" s="16" t="s">
        <v>170</v>
      </c>
      <c r="D28" s="16" t="n">
        <v>29</v>
      </c>
      <c r="E28" s="16" t="n">
        <v>2</v>
      </c>
      <c r="F28" s="16" t="n">
        <v>1</v>
      </c>
      <c r="G28" s="16" t="s">
        <v>169</v>
      </c>
    </row>
    <row r="29" customFormat="false" ht="15" hidden="false" customHeight="false" outlineLevel="0" collapsed="false">
      <c r="A29" s="15" t="n">
        <v>46174</v>
      </c>
      <c r="B29" s="16" t="s">
        <v>176</v>
      </c>
      <c r="C29" s="16" t="s">
        <v>144</v>
      </c>
      <c r="D29" s="16" t="n">
        <v>39</v>
      </c>
      <c r="E29" s="16" t="n">
        <v>4</v>
      </c>
      <c r="F29" s="16" t="n">
        <v>0</v>
      </c>
      <c r="G29" s="16" t="s">
        <v>169</v>
      </c>
    </row>
    <row r="30" customFormat="false" ht="15" hidden="false" customHeight="false" outlineLevel="0" collapsed="false">
      <c r="A30" s="15" t="n">
        <v>46174</v>
      </c>
      <c r="B30" s="16" t="s">
        <v>176</v>
      </c>
      <c r="C30" s="16" t="s">
        <v>93</v>
      </c>
      <c r="D30" s="16" t="n">
        <v>57</v>
      </c>
      <c r="E30" s="16" t="n">
        <v>1</v>
      </c>
      <c r="F30" s="16" t="n">
        <v>0</v>
      </c>
      <c r="G30" s="16" t="s">
        <v>169</v>
      </c>
    </row>
    <row r="31" customFormat="false" ht="15" hidden="false" customHeight="false" outlineLevel="0" collapsed="false">
      <c r="A31" s="15" t="n">
        <v>46174</v>
      </c>
      <c r="B31" s="16" t="s">
        <v>176</v>
      </c>
      <c r="C31" s="16" t="s">
        <v>149</v>
      </c>
      <c r="D31" s="16" t="n">
        <v>20</v>
      </c>
      <c r="E31" s="16" t="n">
        <v>2</v>
      </c>
      <c r="F31" s="16" t="n">
        <v>1</v>
      </c>
      <c r="G31" s="16" t="s">
        <v>169</v>
      </c>
    </row>
    <row r="32" customFormat="false" ht="15" hidden="false" customHeight="false" outlineLevel="0" collapsed="false">
      <c r="A32" s="15" t="n">
        <v>46174</v>
      </c>
      <c r="B32" s="16" t="s">
        <v>176</v>
      </c>
      <c r="C32" s="16" t="s">
        <v>51</v>
      </c>
      <c r="D32" s="16" t="n">
        <v>142</v>
      </c>
      <c r="E32" s="16" t="n">
        <v>4</v>
      </c>
      <c r="F32" s="16" t="n">
        <v>0</v>
      </c>
      <c r="G32" s="16" t="s">
        <v>169</v>
      </c>
    </row>
    <row r="33" customFormat="false" ht="15" hidden="false" customHeight="false" outlineLevel="0" collapsed="false">
      <c r="A33" s="15" t="n">
        <v>46174</v>
      </c>
      <c r="B33" s="16" t="s">
        <v>176</v>
      </c>
      <c r="C33" s="16" t="s">
        <v>170</v>
      </c>
      <c r="D33" s="16" t="n">
        <v>22</v>
      </c>
      <c r="E33" s="16" t="n">
        <v>1</v>
      </c>
      <c r="F33" s="16" t="n">
        <v>0</v>
      </c>
      <c r="G33" s="16" t="s">
        <v>169</v>
      </c>
    </row>
    <row r="34" customFormat="false" ht="15" hidden="false" customHeight="false" outlineLevel="0" collapsed="false">
      <c r="A34" s="15" t="n">
        <v>46204</v>
      </c>
      <c r="B34" s="16" t="s">
        <v>177</v>
      </c>
      <c r="C34" s="16" t="s">
        <v>144</v>
      </c>
      <c r="D34" s="16" t="n">
        <v>34</v>
      </c>
      <c r="E34" s="16" t="n">
        <v>1</v>
      </c>
      <c r="F34" s="16" t="n">
        <v>0</v>
      </c>
      <c r="G34" s="16" t="s">
        <v>169</v>
      </c>
    </row>
    <row r="35" customFormat="false" ht="15" hidden="false" customHeight="false" outlineLevel="0" collapsed="false">
      <c r="A35" s="15" t="n">
        <v>46204</v>
      </c>
      <c r="B35" s="16" t="s">
        <v>177</v>
      </c>
      <c r="C35" s="16" t="s">
        <v>93</v>
      </c>
      <c r="D35" s="16" t="n">
        <v>56</v>
      </c>
      <c r="E35" s="16" t="n">
        <v>1</v>
      </c>
      <c r="F35" s="16" t="n">
        <v>0</v>
      </c>
      <c r="G35" s="16" t="s">
        <v>169</v>
      </c>
    </row>
    <row r="36" customFormat="false" ht="15" hidden="false" customHeight="false" outlineLevel="0" collapsed="false">
      <c r="A36" s="15" t="n">
        <v>46204</v>
      </c>
      <c r="B36" s="16" t="s">
        <v>177</v>
      </c>
      <c r="C36" s="16" t="s">
        <v>149</v>
      </c>
      <c r="D36" s="16" t="n">
        <v>15</v>
      </c>
      <c r="E36" s="16" t="n">
        <v>0</v>
      </c>
      <c r="F36" s="16" t="n">
        <v>0</v>
      </c>
      <c r="G36" s="16" t="s">
        <v>169</v>
      </c>
    </row>
    <row r="37" customFormat="false" ht="15" hidden="false" customHeight="false" outlineLevel="0" collapsed="false">
      <c r="A37" s="15" t="n">
        <v>46204</v>
      </c>
      <c r="B37" s="16" t="s">
        <v>177</v>
      </c>
      <c r="C37" s="16" t="s">
        <v>51</v>
      </c>
      <c r="D37" s="16" t="n">
        <v>109</v>
      </c>
      <c r="E37" s="16" t="n">
        <v>10</v>
      </c>
      <c r="F37" s="16" t="n">
        <v>2</v>
      </c>
      <c r="G37" s="16" t="s">
        <v>169</v>
      </c>
    </row>
    <row r="38" customFormat="false" ht="15" hidden="false" customHeight="false" outlineLevel="0" collapsed="false">
      <c r="A38" s="15" t="n">
        <v>46204</v>
      </c>
      <c r="B38" s="16" t="s">
        <v>177</v>
      </c>
      <c r="C38" s="16" t="s">
        <v>170</v>
      </c>
      <c r="D38" s="16" t="n">
        <v>36</v>
      </c>
      <c r="E38" s="16" t="n">
        <v>1</v>
      </c>
      <c r="F38" s="16" t="n">
        <v>0</v>
      </c>
      <c r="G38" s="16" t="s">
        <v>169</v>
      </c>
    </row>
    <row r="39" customFormat="false" ht="15" hidden="false" customHeight="false" outlineLevel="0" collapsed="false">
      <c r="A39" s="15" t="n">
        <v>46235</v>
      </c>
      <c r="B39" s="16" t="s">
        <v>178</v>
      </c>
      <c r="C39" s="16" t="s">
        <v>144</v>
      </c>
      <c r="D39" s="16" t="n">
        <v>17</v>
      </c>
      <c r="E39" s="17" t="n">
        <f aca="false">COUNTIFS(Interviews!$A$2:$A$26,"&gt;="&amp;A39,Interviews!$A$2:$A$26,"&lt;"&amp;EDATE(A39,1),Interviews!$B$2:$B$26,C39)</f>
        <v>0</v>
      </c>
      <c r="F39" s="17" t="n">
        <f aca="false">SUMIFS(Interviews!$I$2:$I$26,Interviews!$A$2:$A$26,"&gt;="&amp;A39,Interviews!$A$2:$A$26,"&lt;"&amp;EDATE(A39,1),Interviews!$B$2:$B$26,C39)</f>
        <v>0</v>
      </c>
      <c r="G39" s="16" t="s">
        <v>3</v>
      </c>
    </row>
    <row r="40" customFormat="false" ht="15" hidden="false" customHeight="false" outlineLevel="0" collapsed="false">
      <c r="A40" s="15" t="n">
        <v>46235</v>
      </c>
      <c r="B40" s="16" t="s">
        <v>178</v>
      </c>
      <c r="C40" s="16" t="s">
        <v>93</v>
      </c>
      <c r="D40" s="16" t="n">
        <v>36</v>
      </c>
      <c r="E40" s="17" t="n">
        <f aca="false">COUNTIFS(Interviews!$A$2:$A$26,"&gt;="&amp;A40,Interviews!$A$2:$A$26,"&lt;"&amp;EDATE(A40,1),Interviews!$B$2:$B$26,C40)</f>
        <v>0</v>
      </c>
      <c r="F40" s="17" t="n">
        <f aca="false">SUMIFS(Interviews!$I$2:$I$26,Interviews!$A$2:$A$26,"&gt;="&amp;A40,Interviews!$A$2:$A$26,"&lt;"&amp;EDATE(A40,1),Interviews!$B$2:$B$26,C40)</f>
        <v>0</v>
      </c>
      <c r="G40" s="16" t="s">
        <v>3</v>
      </c>
    </row>
    <row r="41" customFormat="false" ht="15" hidden="false" customHeight="false" outlineLevel="0" collapsed="false">
      <c r="A41" s="15" t="n">
        <v>46235</v>
      </c>
      <c r="B41" s="16" t="s">
        <v>178</v>
      </c>
      <c r="C41" s="16" t="s">
        <v>149</v>
      </c>
      <c r="D41" s="16" t="n">
        <v>12</v>
      </c>
      <c r="E41" s="17" t="n">
        <f aca="false">COUNTIFS(Interviews!$A$2:$A$26,"&gt;="&amp;A41,Interviews!$A$2:$A$26,"&lt;"&amp;EDATE(A41,1),Interviews!$B$2:$B$26,C41)</f>
        <v>0</v>
      </c>
      <c r="F41" s="17" t="n">
        <f aca="false">SUMIFS(Interviews!$I$2:$I$26,Interviews!$A$2:$A$26,"&gt;="&amp;A41,Interviews!$A$2:$A$26,"&lt;"&amp;EDATE(A41,1),Interviews!$B$2:$B$26,C41)</f>
        <v>0</v>
      </c>
      <c r="G41" s="16" t="s">
        <v>3</v>
      </c>
    </row>
    <row r="42" customFormat="false" ht="15" hidden="false" customHeight="false" outlineLevel="0" collapsed="false">
      <c r="A42" s="15" t="n">
        <v>46235</v>
      </c>
      <c r="B42" s="16" t="s">
        <v>178</v>
      </c>
      <c r="C42" s="16" t="s">
        <v>51</v>
      </c>
      <c r="D42" s="16" t="n">
        <v>105</v>
      </c>
      <c r="E42" s="17" t="n">
        <f aca="false">COUNTIFS(Interviews!$A$2:$A$26,"&gt;="&amp;A42,Interviews!$A$2:$A$26,"&lt;"&amp;EDATE(A42,1),Interviews!$B$2:$B$26,C42)</f>
        <v>9</v>
      </c>
      <c r="F42" s="17" t="n">
        <f aca="false">SUMIFS(Interviews!$I$2:$I$26,Interviews!$A$2:$A$26,"&gt;="&amp;A42,Interviews!$A$2:$A$26,"&lt;"&amp;EDATE(A42,1),Interviews!$B$2:$B$26,C42)</f>
        <v>0</v>
      </c>
      <c r="G42" s="16" t="s">
        <v>3</v>
      </c>
    </row>
    <row r="43" customFormat="false" ht="15" hidden="false" customHeight="false" outlineLevel="0" collapsed="false">
      <c r="A43" s="15" t="n">
        <v>46266</v>
      </c>
      <c r="B43" s="16" t="s">
        <v>179</v>
      </c>
      <c r="C43" s="16" t="s">
        <v>144</v>
      </c>
      <c r="D43" s="16" t="n">
        <v>14</v>
      </c>
      <c r="E43" s="17" t="n">
        <f aca="false">COUNTIFS(Interviews!$A$2:$A$26,"&gt;="&amp;A43,Interviews!$A$2:$A$26,"&lt;"&amp;EDATE(A43,1),Interviews!$B$2:$B$26,C43)</f>
        <v>0</v>
      </c>
      <c r="F43" s="17" t="n">
        <f aca="false">SUMIFS(Interviews!$I$2:$I$26,Interviews!$A$2:$A$26,"&gt;="&amp;A43,Interviews!$A$2:$A$26,"&lt;"&amp;EDATE(A43,1),Interviews!$B$2:$B$26,C43)</f>
        <v>0</v>
      </c>
      <c r="G43" s="16" t="s">
        <v>3</v>
      </c>
    </row>
    <row r="44" customFormat="false" ht="15" hidden="false" customHeight="false" outlineLevel="0" collapsed="false">
      <c r="A44" s="15" t="n">
        <v>46266</v>
      </c>
      <c r="B44" s="16" t="s">
        <v>179</v>
      </c>
      <c r="C44" s="16" t="s">
        <v>93</v>
      </c>
      <c r="D44" s="16" t="n">
        <v>37</v>
      </c>
      <c r="E44" s="17" t="n">
        <f aca="false">COUNTIFS(Interviews!$A$2:$A$26,"&gt;="&amp;A44,Interviews!$A$2:$A$26,"&lt;"&amp;EDATE(A44,1),Interviews!$B$2:$B$26,C44)</f>
        <v>3</v>
      </c>
      <c r="F44" s="17" t="n">
        <f aca="false">SUMIFS(Interviews!$I$2:$I$26,Interviews!$A$2:$A$26,"&gt;="&amp;A44,Interviews!$A$2:$A$26,"&lt;"&amp;EDATE(A44,1),Interviews!$B$2:$B$26,C44)</f>
        <v>2</v>
      </c>
      <c r="G44" s="16" t="s">
        <v>3</v>
      </c>
    </row>
    <row r="45" customFormat="false" ht="15" hidden="false" customHeight="false" outlineLevel="0" collapsed="false">
      <c r="A45" s="15" t="n">
        <v>46266</v>
      </c>
      <c r="B45" s="16" t="s">
        <v>179</v>
      </c>
      <c r="C45" s="16" t="s">
        <v>149</v>
      </c>
      <c r="D45" s="16" t="n">
        <v>21</v>
      </c>
      <c r="E45" s="17" t="n">
        <f aca="false">COUNTIFS(Interviews!$A$2:$A$26,"&gt;="&amp;A45,Interviews!$A$2:$A$26,"&lt;"&amp;EDATE(A45,1),Interviews!$B$2:$B$26,C45)</f>
        <v>0</v>
      </c>
      <c r="F45" s="17" t="n">
        <f aca="false">SUMIFS(Interviews!$I$2:$I$26,Interviews!$A$2:$A$26,"&gt;="&amp;A45,Interviews!$A$2:$A$26,"&lt;"&amp;EDATE(A45,1),Interviews!$B$2:$B$26,C45)</f>
        <v>0</v>
      </c>
      <c r="G45" s="16" t="s">
        <v>3</v>
      </c>
    </row>
    <row r="46" customFormat="false" ht="15" hidden="false" customHeight="false" outlineLevel="0" collapsed="false">
      <c r="A46" s="15" t="n">
        <v>46266</v>
      </c>
      <c r="B46" s="16" t="s">
        <v>179</v>
      </c>
      <c r="C46" s="16" t="s">
        <v>51</v>
      </c>
      <c r="D46" s="16" t="n">
        <v>108</v>
      </c>
      <c r="E46" s="17" t="n">
        <f aca="false">COUNTIFS(Interviews!$A$2:$A$26,"&gt;="&amp;A46,Interviews!$A$2:$A$26,"&lt;"&amp;EDATE(A46,1),Interviews!$B$2:$B$26,C46)</f>
        <v>7</v>
      </c>
      <c r="F46" s="17" t="n">
        <f aca="false">SUMIFS(Interviews!$I$2:$I$26,Interviews!$A$2:$A$26,"&gt;="&amp;A46,Interviews!$A$2:$A$26,"&lt;"&amp;EDATE(A46,1),Interviews!$B$2:$B$26,C46)</f>
        <v>0</v>
      </c>
      <c r="G46" s="16" t="s">
        <v>3</v>
      </c>
    </row>
    <row r="47" customFormat="false" ht="15" hidden="false" customHeight="false" outlineLevel="0" collapsed="false">
      <c r="A47" s="15" t="n">
        <v>46296</v>
      </c>
      <c r="B47" s="16" t="s">
        <v>180</v>
      </c>
      <c r="C47" s="16" t="s">
        <v>144</v>
      </c>
      <c r="D47" s="16" t="n">
        <v>10</v>
      </c>
      <c r="E47" s="17" t="n">
        <f aca="false">COUNTIFS(Interviews!$A$2:$A$26,"&gt;="&amp;A47,Interviews!$A$2:$A$26,"&lt;"&amp;EDATE(A47,1),Interviews!$B$2:$B$26,C47)</f>
        <v>1</v>
      </c>
      <c r="F47" s="17" t="n">
        <f aca="false">SUMIFS(Interviews!$I$2:$I$26,Interviews!$A$2:$A$26,"&gt;="&amp;A47,Interviews!$A$2:$A$26,"&lt;"&amp;EDATE(A47,1),Interviews!$B$2:$B$26,C47)</f>
        <v>0</v>
      </c>
      <c r="G47" s="16" t="s">
        <v>3</v>
      </c>
    </row>
    <row r="48" customFormat="false" ht="15" hidden="false" customHeight="false" outlineLevel="0" collapsed="false">
      <c r="A48" s="15" t="n">
        <v>46296</v>
      </c>
      <c r="B48" s="16" t="s">
        <v>180</v>
      </c>
      <c r="C48" s="16" t="s">
        <v>93</v>
      </c>
      <c r="D48" s="16" t="n">
        <v>32</v>
      </c>
      <c r="E48" s="17" t="n">
        <f aca="false">COUNTIFS(Interviews!$A$2:$A$26,"&gt;="&amp;A48,Interviews!$A$2:$A$26,"&lt;"&amp;EDATE(A48,1),Interviews!$B$2:$B$26,C48)</f>
        <v>1</v>
      </c>
      <c r="F48" s="17" t="n">
        <f aca="false">SUMIFS(Interviews!$I$2:$I$26,Interviews!$A$2:$A$26,"&gt;="&amp;A48,Interviews!$A$2:$A$26,"&lt;"&amp;EDATE(A48,1),Interviews!$B$2:$B$26,C48)</f>
        <v>0</v>
      </c>
      <c r="G48" s="16" t="s">
        <v>3</v>
      </c>
    </row>
    <row r="49" customFormat="false" ht="15" hidden="false" customHeight="false" outlineLevel="0" collapsed="false">
      <c r="A49" s="15" t="n">
        <v>46296</v>
      </c>
      <c r="B49" s="16" t="s">
        <v>180</v>
      </c>
      <c r="C49" s="16" t="s">
        <v>149</v>
      </c>
      <c r="D49" s="16" t="n">
        <v>15</v>
      </c>
      <c r="E49" s="17" t="n">
        <f aca="false">COUNTIFS(Interviews!$A$2:$A$26,"&gt;="&amp;A49,Interviews!$A$2:$A$26,"&lt;"&amp;EDATE(A49,1),Interviews!$B$2:$B$26,C49)</f>
        <v>1</v>
      </c>
      <c r="F49" s="17" t="n">
        <f aca="false">SUMIFS(Interviews!$I$2:$I$26,Interviews!$A$2:$A$26,"&gt;="&amp;A49,Interviews!$A$2:$A$26,"&lt;"&amp;EDATE(A49,1),Interviews!$B$2:$B$26,C49)</f>
        <v>1</v>
      </c>
      <c r="G49" s="16" t="s">
        <v>3</v>
      </c>
    </row>
    <row r="50" customFormat="false" ht="15" hidden="false" customHeight="false" outlineLevel="0" collapsed="false">
      <c r="A50" s="15" t="n">
        <v>46296</v>
      </c>
      <c r="B50" s="16" t="s">
        <v>180</v>
      </c>
      <c r="C50" s="16" t="s">
        <v>51</v>
      </c>
      <c r="D50" s="16" t="n">
        <v>75</v>
      </c>
      <c r="E50" s="17" t="n">
        <f aca="false">COUNTIFS(Interviews!$A$2:$A$26,"&gt;="&amp;A50,Interviews!$A$2:$A$26,"&lt;"&amp;EDATE(A50,1),Interviews!$B$2:$B$26,C50)</f>
        <v>3</v>
      </c>
      <c r="F50" s="17" t="n">
        <f aca="false">SUMIFS(Interviews!$I$2:$I$26,Interviews!$A$2:$A$26,"&gt;="&amp;A50,Interviews!$A$2:$A$26,"&lt;"&amp;EDATE(A50,1),Interviews!$B$2:$B$26,C50)</f>
        <v>0</v>
      </c>
      <c r="G50" s="16" t="s">
        <v>3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</row>
    <row r="52" customFormat="false" ht="15" hidden="false" customHeight="false" outlineLevel="0" collapsed="false">
      <c r="A52" s="3" t="s">
        <v>181</v>
      </c>
      <c r="B52" s="2"/>
      <c r="C52" s="2"/>
      <c r="D52" s="2"/>
      <c r="E52" s="2"/>
      <c r="F52" s="2"/>
      <c r="G5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4" t="s">
        <v>165</v>
      </c>
      <c r="B4" s="4" t="s">
        <v>166</v>
      </c>
      <c r="C4" s="4" t="s">
        <v>26</v>
      </c>
      <c r="D4" s="4" t="s">
        <v>10</v>
      </c>
      <c r="E4" s="4" t="s">
        <v>11</v>
      </c>
      <c r="F4" s="4" t="s">
        <v>13</v>
      </c>
      <c r="G4" s="4" t="s">
        <v>15</v>
      </c>
      <c r="H4" s="4" t="s">
        <v>17</v>
      </c>
      <c r="I4" s="4" t="s">
        <v>184</v>
      </c>
      <c r="J4" s="4" t="s">
        <v>9</v>
      </c>
      <c r="K4" s="4" t="s">
        <v>167</v>
      </c>
    </row>
    <row r="5" customFormat="false" ht="15" hidden="false" customHeight="false" outlineLevel="0" collapsed="false">
      <c r="A5" s="15" t="n">
        <v>46023</v>
      </c>
      <c r="B5" s="2" t="str">
        <f aca="false">TEXT(A5,"mmm yyyy")</f>
        <v>Jan 2026</v>
      </c>
      <c r="C5" s="2" t="n">
        <f aca="false">SUMIFS(Data_Monthly!$D$2:$D$50,Data_Monthly!$A$2:$A$50,A5)</f>
        <v>335</v>
      </c>
      <c r="D5" s="2" t="n">
        <f aca="false">SUMIFS(Data_Monthly!$E$2:$E$50,Data_Monthly!$A$2:$A$50,A5)</f>
        <v>35</v>
      </c>
      <c r="E5" s="2" t="n">
        <f aca="false">SUMIFS(Data_Monthly!$F$2:$F$50,Data_Monthly!$A$2:$A$50,A5)</f>
        <v>6</v>
      </c>
      <c r="F5" s="11" t="n">
        <f aca="false">IFERROR(D5/C5,0)</f>
        <v>0.104477611940299</v>
      </c>
      <c r="G5" s="11" t="n">
        <f aca="false">IFERROR(E5/C5,0)</f>
        <v>0.017910447761194</v>
      </c>
      <c r="H5" s="11" t="n">
        <f aca="false">IFERROR(E5/D5,0)</f>
        <v>0.171428571428571</v>
      </c>
      <c r="I5" s="2" t="n">
        <f aca="false">DAY(EOMONTH(A5,0))</f>
        <v>31</v>
      </c>
      <c r="J5" s="9" t="n">
        <f aca="false">IFERROR(C5/I5,0)</f>
        <v>10.8064516129032</v>
      </c>
      <c r="K5" s="16" t="s">
        <v>169</v>
      </c>
    </row>
    <row r="6" customFormat="false" ht="15" hidden="false" customHeight="false" outlineLevel="0" collapsed="false">
      <c r="A6" s="15" t="n">
        <v>46054</v>
      </c>
      <c r="B6" s="2" t="str">
        <f aca="false">TEXT(A6,"mmm yyyy")</f>
        <v>Feb 2026</v>
      </c>
      <c r="C6" s="2" t="n">
        <f aca="false">SUMIFS(Data_Monthly!$D$2:$D$50,Data_Monthly!$A$2:$A$50,A6)</f>
        <v>358</v>
      </c>
      <c r="D6" s="2" t="n">
        <f aca="false">SUMIFS(Data_Monthly!$E$2:$E$50,Data_Monthly!$A$2:$A$50,A6)</f>
        <v>49</v>
      </c>
      <c r="E6" s="2" t="n">
        <f aca="false">SUMIFS(Data_Monthly!$F$2:$F$50,Data_Monthly!$A$2:$A$50,A6)</f>
        <v>5</v>
      </c>
      <c r="F6" s="11" t="n">
        <f aca="false">IFERROR(D6/C6,0)</f>
        <v>0.136871508379888</v>
      </c>
      <c r="G6" s="11" t="n">
        <f aca="false">IFERROR(E6/C6,0)</f>
        <v>0.0139664804469274</v>
      </c>
      <c r="H6" s="11" t="n">
        <f aca="false">IFERROR(E6/D6,0)</f>
        <v>0.102040816326531</v>
      </c>
      <c r="I6" s="2" t="n">
        <f aca="false">DAY(EOMONTH(A6,0))</f>
        <v>28</v>
      </c>
      <c r="J6" s="9" t="n">
        <f aca="false">IFERROR(C6/I6,0)</f>
        <v>12.7857142857143</v>
      </c>
      <c r="K6" s="16" t="s">
        <v>169</v>
      </c>
    </row>
    <row r="7" customFormat="false" ht="15" hidden="false" customHeight="false" outlineLevel="0" collapsed="false">
      <c r="A7" s="15" t="n">
        <v>46082</v>
      </c>
      <c r="B7" s="2" t="str">
        <f aca="false">TEXT(A7,"mmm yyyy")</f>
        <v>Mar 2026</v>
      </c>
      <c r="C7" s="2" t="n">
        <f aca="false">SUMIFS(Data_Monthly!$D$2:$D$50,Data_Monthly!$A$2:$A$50,A7)</f>
        <v>240</v>
      </c>
      <c r="D7" s="2" t="n">
        <f aca="false">SUMIFS(Data_Monthly!$E$2:$E$50,Data_Monthly!$A$2:$A$50,A7)</f>
        <v>12</v>
      </c>
      <c r="E7" s="2" t="n">
        <f aca="false">SUMIFS(Data_Monthly!$F$2:$F$50,Data_Monthly!$A$2:$A$50,A7)</f>
        <v>3</v>
      </c>
      <c r="F7" s="11" t="n">
        <f aca="false">IFERROR(D7/C7,0)</f>
        <v>0.05</v>
      </c>
      <c r="G7" s="11" t="n">
        <f aca="false">IFERROR(E7/C7,0)</f>
        <v>0.0125</v>
      </c>
      <c r="H7" s="11" t="n">
        <f aca="false">IFERROR(E7/D7,0)</f>
        <v>0.25</v>
      </c>
      <c r="I7" s="2" t="n">
        <f aca="false">DAY(EOMONTH(A7,0))</f>
        <v>31</v>
      </c>
      <c r="J7" s="9" t="n">
        <f aca="false">IFERROR(C7/I7,0)</f>
        <v>7.74193548387097</v>
      </c>
      <c r="K7" s="16" t="s">
        <v>169</v>
      </c>
    </row>
    <row r="8" customFormat="false" ht="15" hidden="false" customHeight="false" outlineLevel="0" collapsed="false">
      <c r="A8" s="15" t="n">
        <v>46113</v>
      </c>
      <c r="B8" s="2" t="str">
        <f aca="false">TEXT(A8,"mmm yyyy")</f>
        <v>Apr 2026</v>
      </c>
      <c r="C8" s="2" t="n">
        <f aca="false">SUMIFS(Data_Monthly!$D$2:$D$50,Data_Monthly!$A$2:$A$50,A8)</f>
        <v>321</v>
      </c>
      <c r="D8" s="2" t="n">
        <f aca="false">SUMIFS(Data_Monthly!$E$2:$E$50,Data_Monthly!$A$2:$A$50,A8)</f>
        <v>14</v>
      </c>
      <c r="E8" s="2" t="n">
        <f aca="false">SUMIFS(Data_Monthly!$F$2:$F$50,Data_Monthly!$A$2:$A$50,A8)</f>
        <v>1</v>
      </c>
      <c r="F8" s="11" t="n">
        <f aca="false">IFERROR(D8/C8,0)</f>
        <v>0.043613707165109</v>
      </c>
      <c r="G8" s="11" t="n">
        <f aca="false">IFERROR(E8/C8,0)</f>
        <v>0.00311526479750779</v>
      </c>
      <c r="H8" s="11" t="n">
        <f aca="false">IFERROR(E8/D8,0)</f>
        <v>0.0714285714285714</v>
      </c>
      <c r="I8" s="2" t="n">
        <f aca="false">DAY(EOMONTH(A8,0))</f>
        <v>30</v>
      </c>
      <c r="J8" s="9" t="n">
        <f aca="false">IFERROR(C8/I8,0)</f>
        <v>10.7</v>
      </c>
      <c r="K8" s="16" t="s">
        <v>169</v>
      </c>
    </row>
    <row r="9" customFormat="false" ht="15" hidden="false" customHeight="false" outlineLevel="0" collapsed="false">
      <c r="A9" s="15" t="n">
        <v>46143</v>
      </c>
      <c r="B9" s="2" t="str">
        <f aca="false">TEXT(A9,"mmm yyyy")</f>
        <v>May 2026</v>
      </c>
      <c r="C9" s="2" t="n">
        <f aca="false">SUMIFS(Data_Monthly!$D$2:$D$50,Data_Monthly!$A$2:$A$50,A9)</f>
        <v>318</v>
      </c>
      <c r="D9" s="2" t="n">
        <f aca="false">SUMIFS(Data_Monthly!$E$2:$E$50,Data_Monthly!$A$2:$A$50,A9)</f>
        <v>23</v>
      </c>
      <c r="E9" s="2" t="n">
        <f aca="false">SUMIFS(Data_Monthly!$F$2:$F$50,Data_Monthly!$A$2:$A$50,A9)</f>
        <v>7</v>
      </c>
      <c r="F9" s="11" t="n">
        <f aca="false">IFERROR(D9/C9,0)</f>
        <v>0.0723270440251572</v>
      </c>
      <c r="G9" s="11" t="n">
        <f aca="false">IFERROR(E9/C9,0)</f>
        <v>0.0220125786163522</v>
      </c>
      <c r="H9" s="11" t="n">
        <f aca="false">IFERROR(E9/D9,0)</f>
        <v>0.304347826086957</v>
      </c>
      <c r="I9" s="2" t="n">
        <f aca="false">DAY(EOMONTH(A9,0))</f>
        <v>31</v>
      </c>
      <c r="J9" s="9" t="n">
        <f aca="false">IFERROR(C9/I9,0)</f>
        <v>10.258064516129</v>
      </c>
      <c r="K9" s="16" t="s">
        <v>169</v>
      </c>
    </row>
    <row r="10" customFormat="false" ht="15" hidden="false" customHeight="false" outlineLevel="0" collapsed="false">
      <c r="A10" s="15" t="n">
        <v>46174</v>
      </c>
      <c r="B10" s="2" t="str">
        <f aca="false">TEXT(A10,"mmm yyyy")</f>
        <v>Jun 2026</v>
      </c>
      <c r="C10" s="2" t="n">
        <f aca="false">SUMIFS(Data_Monthly!$D$2:$D$50,Data_Monthly!$A$2:$A$50,A10)</f>
        <v>280</v>
      </c>
      <c r="D10" s="2" t="n">
        <f aca="false">SUMIFS(Data_Monthly!$E$2:$E$50,Data_Monthly!$A$2:$A$50,A10)</f>
        <v>12</v>
      </c>
      <c r="E10" s="2" t="n">
        <f aca="false">SUMIFS(Data_Monthly!$F$2:$F$50,Data_Monthly!$A$2:$A$50,A10)</f>
        <v>1</v>
      </c>
      <c r="F10" s="11" t="n">
        <f aca="false">IFERROR(D10/C10,0)</f>
        <v>0.0428571428571429</v>
      </c>
      <c r="G10" s="11" t="n">
        <f aca="false">IFERROR(E10/C10,0)</f>
        <v>0.00357142857142857</v>
      </c>
      <c r="H10" s="11" t="n">
        <f aca="false">IFERROR(E10/D10,0)</f>
        <v>0.0833333333333333</v>
      </c>
      <c r="I10" s="2" t="n">
        <f aca="false">DAY(EOMONTH(A10,0))</f>
        <v>30</v>
      </c>
      <c r="J10" s="9" t="n">
        <f aca="false">IFERROR(C10/I10,0)</f>
        <v>9.33333333333333</v>
      </c>
      <c r="K10" s="16" t="s">
        <v>169</v>
      </c>
    </row>
    <row r="11" customFormat="false" ht="15" hidden="false" customHeight="false" outlineLevel="0" collapsed="false">
      <c r="A11" s="15" t="n">
        <v>46204</v>
      </c>
      <c r="B11" s="2" t="str">
        <f aca="false">TEXT(A11,"mmm yyyy")</f>
        <v>Jul 2026</v>
      </c>
      <c r="C11" s="2" t="n">
        <f aca="false">SUMIFS(Data_Monthly!$D$2:$D$50,Data_Monthly!$A$2:$A$50,A11)</f>
        <v>250</v>
      </c>
      <c r="D11" s="2" t="n">
        <f aca="false">SUMIFS(Data_Monthly!$E$2:$E$50,Data_Monthly!$A$2:$A$50,A11)</f>
        <v>13</v>
      </c>
      <c r="E11" s="2" t="n">
        <f aca="false">SUMIFS(Data_Monthly!$F$2:$F$50,Data_Monthly!$A$2:$A$50,A11)</f>
        <v>2</v>
      </c>
      <c r="F11" s="11" t="n">
        <f aca="false">IFERROR(D11/C11,0)</f>
        <v>0.052</v>
      </c>
      <c r="G11" s="11" t="n">
        <f aca="false">IFERROR(E11/C11,0)</f>
        <v>0.008</v>
      </c>
      <c r="H11" s="11" t="n">
        <f aca="false">IFERROR(E11/D11,0)</f>
        <v>0.153846153846154</v>
      </c>
      <c r="I11" s="2" t="n">
        <f aca="false">DAY(EOMONTH(A11,0))</f>
        <v>31</v>
      </c>
      <c r="J11" s="9" t="n">
        <f aca="false">IFERROR(C11/I11,0)</f>
        <v>8.06451612903226</v>
      </c>
      <c r="K11" s="16" t="s">
        <v>169</v>
      </c>
    </row>
    <row r="12" customFormat="false" ht="15" hidden="false" customHeight="false" outlineLevel="0" collapsed="false">
      <c r="A12" s="15" t="n">
        <v>46235</v>
      </c>
      <c r="B12" s="2" t="str">
        <f aca="false">TEXT(A12,"mmm yyyy")</f>
        <v>Aug 2026</v>
      </c>
      <c r="C12" s="2" t="n">
        <f aca="false">SUMIFS(Data_Monthly!$D$2:$D$50,Data_Monthly!$A$2:$A$50,A12)</f>
        <v>170</v>
      </c>
      <c r="D12" s="2" t="n">
        <f aca="false">SUMIFS(Data_Monthly!$E$2:$E$50,Data_Monthly!$A$2:$A$50,A12)</f>
        <v>9</v>
      </c>
      <c r="E12" s="2" t="n">
        <f aca="false">SUMIFS(Data_Monthly!$F$2:$F$50,Data_Monthly!$A$2:$A$50,A12)</f>
        <v>0</v>
      </c>
      <c r="F12" s="11" t="n">
        <f aca="false">IFERROR(D12/C12,0)</f>
        <v>0.0529411764705882</v>
      </c>
      <c r="G12" s="11" t="n">
        <f aca="false">IFERROR(E12/C12,0)</f>
        <v>0</v>
      </c>
      <c r="H12" s="11" t="n">
        <f aca="false">IFERROR(E12/D12,0)</f>
        <v>0</v>
      </c>
      <c r="I12" s="2" t="n">
        <f aca="false">DAY(EOMONTH(A12,0))</f>
        <v>31</v>
      </c>
      <c r="J12" s="9" t="n">
        <f aca="false">IFERROR(C12/I12,0)</f>
        <v>5.48387096774194</v>
      </c>
      <c r="K12" s="16" t="s">
        <v>3</v>
      </c>
    </row>
    <row r="13" customFormat="false" ht="15" hidden="false" customHeight="false" outlineLevel="0" collapsed="false">
      <c r="A13" s="15" t="n">
        <v>46266</v>
      </c>
      <c r="B13" s="2" t="str">
        <f aca="false">TEXT(A13,"mmm yyyy")</f>
        <v>Sep 2026</v>
      </c>
      <c r="C13" s="2" t="n">
        <f aca="false">SUMIFS(Data_Monthly!$D$2:$D$50,Data_Monthly!$A$2:$A$50,A13)</f>
        <v>180</v>
      </c>
      <c r="D13" s="2" t="n">
        <f aca="false">SUMIFS(Data_Monthly!$E$2:$E$50,Data_Monthly!$A$2:$A$50,A13)</f>
        <v>10</v>
      </c>
      <c r="E13" s="2" t="n">
        <f aca="false">SUMIFS(Data_Monthly!$F$2:$F$50,Data_Monthly!$A$2:$A$50,A13)</f>
        <v>2</v>
      </c>
      <c r="F13" s="11" t="n">
        <f aca="false">IFERROR(D13/C13,0)</f>
        <v>0.0555555555555556</v>
      </c>
      <c r="G13" s="11" t="n">
        <f aca="false">IFERROR(E13/C13,0)</f>
        <v>0.0111111111111111</v>
      </c>
      <c r="H13" s="11" t="n">
        <f aca="false">IFERROR(E13/D13,0)</f>
        <v>0.2</v>
      </c>
      <c r="I13" s="2" t="n">
        <f aca="false">DAY(EOMONTH(A13,0))</f>
        <v>30</v>
      </c>
      <c r="J13" s="9" t="n">
        <f aca="false">IFERROR(C13/I13,0)</f>
        <v>6</v>
      </c>
      <c r="K13" s="16" t="s">
        <v>3</v>
      </c>
    </row>
    <row r="14" customFormat="false" ht="15" hidden="false" customHeight="false" outlineLevel="0" collapsed="false">
      <c r="A14" s="15" t="n">
        <v>46296</v>
      </c>
      <c r="B14" s="2" t="str">
        <f aca="false">TEXT(A14,"mmm yyyy")</f>
        <v>Oct 2026</v>
      </c>
      <c r="C14" s="2" t="n">
        <f aca="false">SUMIFS(Data_Monthly!$D$2:$D$50,Data_Monthly!$A$2:$A$50,A14)</f>
        <v>132</v>
      </c>
      <c r="D14" s="2" t="n">
        <f aca="false">SUMIFS(Data_Monthly!$E$2:$E$50,Data_Monthly!$A$2:$A$50,A14)</f>
        <v>6</v>
      </c>
      <c r="E14" s="2" t="n">
        <f aca="false">SUMIFS(Data_Monthly!$F$2:$F$50,Data_Monthly!$A$2:$A$50,A14)</f>
        <v>1</v>
      </c>
      <c r="F14" s="11" t="n">
        <f aca="false">IFERROR(D14/C14,0)</f>
        <v>0.0454545454545455</v>
      </c>
      <c r="G14" s="11" t="n">
        <f aca="false">IFERROR(E14/C14,0)</f>
        <v>0.00757575757575758</v>
      </c>
      <c r="H14" s="11" t="n">
        <f aca="false">IFERROR(E14/D14,0)</f>
        <v>0.166666666666667</v>
      </c>
      <c r="I14" s="16" t="n">
        <v>20</v>
      </c>
      <c r="J14" s="9" t="n">
        <f aca="false">IFERROR(C14/I14,0)</f>
        <v>6.6</v>
      </c>
      <c r="K14" s="16" t="s">
        <v>3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0"/>
      <c r="B16" s="19" t="s">
        <v>169</v>
      </c>
      <c r="C16" s="19" t="n">
        <f aca="false">SUM(C5:C11)</f>
        <v>2102</v>
      </c>
      <c r="D16" s="19" t="n">
        <f aca="false">SUM(D5:D11)</f>
        <v>158</v>
      </c>
      <c r="E16" s="19" t="n">
        <f aca="false">SUM(E5:E11)</f>
        <v>25</v>
      </c>
      <c r="F16" s="22" t="n">
        <f aca="false">IFERROR(D16/C16,0)</f>
        <v>0.0751665080875357</v>
      </c>
      <c r="G16" s="22" t="n">
        <f aca="false">IFERROR(E16/C16,0)</f>
        <v>0.0118934348239772</v>
      </c>
      <c r="H16" s="22" t="n">
        <f aca="false">IFERROR(E16/D16,0)</f>
        <v>0.158227848101266</v>
      </c>
      <c r="I16" s="19" t="n">
        <f aca="false">SUM(I5:I11)</f>
        <v>212</v>
      </c>
      <c r="J16" s="23" t="n">
        <f aca="false">IFERROR(C16/I16,0)</f>
        <v>9.91509433962264</v>
      </c>
      <c r="K16" s="20"/>
    </row>
    <row r="17" customFormat="false" ht="15" hidden="false" customHeight="false" outlineLevel="0" collapsed="false">
      <c r="A17" s="20"/>
      <c r="B17" s="19" t="s">
        <v>185</v>
      </c>
      <c r="C17" s="19" t="n">
        <f aca="false">SUM(C12:C14)</f>
        <v>482</v>
      </c>
      <c r="D17" s="19" t="n">
        <f aca="false">SUM(D12:D14)</f>
        <v>25</v>
      </c>
      <c r="E17" s="19" t="n">
        <f aca="false">SUM(E12:E14)</f>
        <v>3</v>
      </c>
      <c r="F17" s="22" t="n">
        <f aca="false">IFERROR(D17/C17,0)</f>
        <v>0.0518672199170125</v>
      </c>
      <c r="G17" s="22" t="n">
        <f aca="false">IFERROR(E17/C17,0)</f>
        <v>0.00622406639004149</v>
      </c>
      <c r="H17" s="22" t="n">
        <f aca="false">IFERROR(E17/D17,0)</f>
        <v>0.12</v>
      </c>
      <c r="I17" s="19" t="n">
        <f aca="false">SUM(I12:I14)</f>
        <v>81</v>
      </c>
      <c r="J17" s="23" t="n">
        <f aca="false">IFERROR(C17/I17,0)</f>
        <v>5.95061728395062</v>
      </c>
      <c r="K17" s="20"/>
    </row>
    <row r="18" customFormat="false" ht="15" hidden="false" customHeight="false" outlineLevel="0" collapsed="false">
      <c r="A18" s="20"/>
      <c r="B18" s="19" t="s">
        <v>186</v>
      </c>
      <c r="C18" s="19" t="n">
        <f aca="false">SUM(C7:C11)</f>
        <v>1409</v>
      </c>
      <c r="D18" s="19" t="n">
        <f aca="false">SUM(D7:D11)</f>
        <v>74</v>
      </c>
      <c r="E18" s="19" t="n">
        <f aca="false">SUM(E7:E11)</f>
        <v>14</v>
      </c>
      <c r="F18" s="22" t="n">
        <f aca="false">IFERROR(D18/C18,0)</f>
        <v>0.0525195173882186</v>
      </c>
      <c r="G18" s="22" t="n">
        <f aca="false">IFERROR(E18/C18,0)</f>
        <v>0.0099361249112846</v>
      </c>
      <c r="H18" s="22" t="n">
        <f aca="false">IFERROR(E18/D18,0)</f>
        <v>0.189189189189189</v>
      </c>
      <c r="I18" s="19" t="n">
        <f aca="false">SUM(I7:I11)</f>
        <v>153</v>
      </c>
      <c r="J18" s="23" t="n">
        <f aca="false">IFERROR(C18/I18,0)</f>
        <v>9.20915032679739</v>
      </c>
      <c r="K18" s="20"/>
    </row>
    <row r="19" customFormat="false" ht="15" hidden="false" customHeight="false" outlineLevel="0" collapsed="false">
      <c r="A19" s="2"/>
      <c r="B19" s="5" t="s">
        <v>187</v>
      </c>
      <c r="C19" s="2"/>
      <c r="D19" s="2"/>
      <c r="E19" s="2"/>
      <c r="F19" s="12" t="n">
        <f aca="false">F17-F16</f>
        <v>-0.0232992881705232</v>
      </c>
      <c r="G19" s="12" t="n">
        <f aca="false">G17-G16</f>
        <v>-0.00566936843393567</v>
      </c>
      <c r="H19" s="12" t="n">
        <f aca="false">H17-H16</f>
        <v>-0.0382278481012658</v>
      </c>
      <c r="I19" s="2"/>
      <c r="J19" s="10" t="n">
        <f aca="false">J17-J16</f>
        <v>-3.96447705567202</v>
      </c>
      <c r="K19" s="3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2"/>
  </cols>
  <sheetData>
    <row r="1" customFormat="false" ht="17.35" hidden="false" customHeight="false" outlineLevel="0" collapsed="false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1.5" hidden="false" customHeight="true" outlineLevel="0" collapsed="false">
      <c r="A4" s="4" t="s">
        <v>39</v>
      </c>
      <c r="B4" s="4" t="s">
        <v>26</v>
      </c>
      <c r="C4" s="4" t="s">
        <v>191</v>
      </c>
      <c r="D4" s="4" t="s">
        <v>10</v>
      </c>
      <c r="E4" s="4" t="s">
        <v>11</v>
      </c>
      <c r="F4" s="4" t="s">
        <v>13</v>
      </c>
      <c r="G4" s="4" t="s">
        <v>15</v>
      </c>
      <c r="H4" s="4" t="s">
        <v>17</v>
      </c>
      <c r="I4" s="4" t="s">
        <v>192</v>
      </c>
      <c r="J4" s="4" t="s">
        <v>193</v>
      </c>
      <c r="K4" s="4" t="s">
        <v>27</v>
      </c>
      <c r="L4" s="4" t="s">
        <v>194</v>
      </c>
      <c r="M4" s="4" t="s">
        <v>195</v>
      </c>
      <c r="N4" s="4" t="s">
        <v>196</v>
      </c>
      <c r="O4" s="4" t="s">
        <v>197</v>
      </c>
      <c r="P4" s="4" t="s">
        <v>198</v>
      </c>
    </row>
    <row r="5" customFormat="false" ht="15" hidden="false" customHeight="false" outlineLevel="0" collapsed="false">
      <c r="A5" s="16" t="s">
        <v>51</v>
      </c>
      <c r="B5" s="2" t="n">
        <f aca="false">SUMIFS(Data_Monthly!$D$2:$D$50,Data_Monthly!$C$2:$C$50,A5,Data_Monthly!$A$2:$A$50,"&gt;="&amp;DATE(2026,8,1))</f>
        <v>288</v>
      </c>
      <c r="C5" s="11" t="n">
        <f aca="false">IFERROR(B5/$B$9,0)</f>
        <v>0.597510373443983</v>
      </c>
      <c r="D5" s="2" t="n">
        <f aca="false">COUNTIFS(Interviews!$B$2:$B$26,A5)</f>
        <v>19</v>
      </c>
      <c r="E5" s="2" t="n">
        <f aca="false">SUMIFS(Interviews!$I$2:$I$26,Interviews!$B$2:$B$26,A5)</f>
        <v>0</v>
      </c>
      <c r="F5" s="11" t="n">
        <f aca="false">IFERROR(D5/B5,0)</f>
        <v>0.0659722222222222</v>
      </c>
      <c r="G5" s="11" t="n">
        <f aca="false">IFERROR(E5/B5,0)</f>
        <v>0</v>
      </c>
      <c r="H5" s="11" t="n">
        <f aca="false">IFERROR(E5/D5,0)</f>
        <v>0</v>
      </c>
      <c r="I5" s="2" t="n">
        <f aca="false">B5-COUNTIFS(Interviews!$B$2:$B$26,A5,Interviews!$C$2:$C$26,"INVITE")</f>
        <v>287</v>
      </c>
      <c r="J5" s="2" t="n">
        <f aca="false">D5-COUNTIFS(Interviews!$B$2:$B$26,A5,Interviews!$C$2:$C$26,"INVITE")</f>
        <v>18</v>
      </c>
      <c r="K5" s="11" t="n">
        <f aca="false">IFERROR(J5/I5,0)</f>
        <v>0.0627177700348432</v>
      </c>
      <c r="L5" s="2" t="n">
        <f aca="false">SUMIFS(Data_Monthly!$D$2:$D$50,Data_Monthly!$C$2:$C$50,A5,Data_Monthly!$A$2:$A$50,"&lt;"&amp;DATE(2026,8,1))</f>
        <v>938</v>
      </c>
      <c r="M5" s="2" t="n">
        <f aca="false">SUMIFS(Data_Monthly!$E$2:$E$50,Data_Monthly!$C$2:$C$50,A5,Data_Monthly!$A$2:$A$50,"&lt;"&amp;DATE(2026,8,1))</f>
        <v>77</v>
      </c>
      <c r="N5" s="11" t="n">
        <f aca="false">IFERROR(M5/L5,0)</f>
        <v>0.082089552238806</v>
      </c>
      <c r="O5" s="12" t="n">
        <f aca="false">F5-N5</f>
        <v>-0.0161173300165837</v>
      </c>
      <c r="P5" s="2" t="n">
        <f aca="false">RANK(K5,$K$5:$K$8,0)</f>
        <v>1</v>
      </c>
    </row>
    <row r="6" customFormat="false" ht="15" hidden="false" customHeight="false" outlineLevel="0" collapsed="false">
      <c r="A6" s="16" t="s">
        <v>93</v>
      </c>
      <c r="B6" s="2" t="n">
        <f aca="false">SUMIFS(Data_Monthly!$D$2:$D$50,Data_Monthly!$C$2:$C$50,A6,Data_Monthly!$A$2:$A$50,"&gt;="&amp;DATE(2026,8,1))</f>
        <v>105</v>
      </c>
      <c r="C6" s="11" t="n">
        <f aca="false">IFERROR(B6/$B$9,0)</f>
        <v>0.217842323651452</v>
      </c>
      <c r="D6" s="2" t="n">
        <f aca="false">COUNTIFS(Interviews!$B$2:$B$26,A6)</f>
        <v>4</v>
      </c>
      <c r="E6" s="2" t="n">
        <f aca="false">SUMIFS(Interviews!$I$2:$I$26,Interviews!$B$2:$B$26,A6)</f>
        <v>2</v>
      </c>
      <c r="F6" s="11" t="n">
        <f aca="false">IFERROR(D6/B6,0)</f>
        <v>0.0380952380952381</v>
      </c>
      <c r="G6" s="11" t="n">
        <f aca="false">IFERROR(E6/B6,0)</f>
        <v>0.0190476190476191</v>
      </c>
      <c r="H6" s="11" t="n">
        <f aca="false">IFERROR(E6/D6,0)</f>
        <v>0.5</v>
      </c>
      <c r="I6" s="2" t="n">
        <f aca="false">B6-COUNTIFS(Interviews!$B$2:$B$26,A6,Interviews!$C$2:$C$26,"INVITE")</f>
        <v>105</v>
      </c>
      <c r="J6" s="2" t="n">
        <f aca="false">D6-COUNTIFS(Interviews!$B$2:$B$26,A6,Interviews!$C$2:$C$26,"INVITE")</f>
        <v>4</v>
      </c>
      <c r="K6" s="11" t="n">
        <f aca="false">IFERROR(J6/I6,0)</f>
        <v>0.0380952380952381</v>
      </c>
      <c r="L6" s="2" t="n">
        <f aca="false">SUMIFS(Data_Monthly!$D$2:$D$50,Data_Monthly!$C$2:$C$50,A6,Data_Monthly!$A$2:$A$50,"&lt;"&amp;DATE(2026,8,1))</f>
        <v>549</v>
      </c>
      <c r="M6" s="2" t="n">
        <f aca="false">SUMIFS(Data_Monthly!$E$2:$E$50,Data_Monthly!$C$2:$C$50,A6,Data_Monthly!$A$2:$A$50,"&lt;"&amp;DATE(2026,8,1))</f>
        <v>39</v>
      </c>
      <c r="N6" s="11" t="n">
        <f aca="false">IFERROR(M6/L6,0)</f>
        <v>0.0710382513661202</v>
      </c>
      <c r="O6" s="12" t="n">
        <f aca="false">F6-N6</f>
        <v>-0.0329430132708821</v>
      </c>
      <c r="P6" s="2" t="n">
        <f aca="false">RANK(K6,$K$5:$K$8,0)</f>
        <v>2</v>
      </c>
    </row>
    <row r="7" customFormat="false" ht="15" hidden="false" customHeight="false" outlineLevel="0" collapsed="false">
      <c r="A7" s="16" t="s">
        <v>149</v>
      </c>
      <c r="B7" s="2" t="n">
        <f aca="false">SUMIFS(Data_Monthly!$D$2:$D$50,Data_Monthly!$C$2:$C$50,A7,Data_Monthly!$A$2:$A$50,"&gt;="&amp;DATE(2026,8,1))</f>
        <v>48</v>
      </c>
      <c r="C7" s="11" t="n">
        <f aca="false">IFERROR(B7/$B$9,0)</f>
        <v>0.0995850622406639</v>
      </c>
      <c r="D7" s="2" t="n">
        <f aca="false">COUNTIFS(Interviews!$B$2:$B$26,A7)</f>
        <v>1</v>
      </c>
      <c r="E7" s="2" t="n">
        <f aca="false">SUMIFS(Interviews!$I$2:$I$26,Interviews!$B$2:$B$26,A7)</f>
        <v>1</v>
      </c>
      <c r="F7" s="11" t="n">
        <f aca="false">IFERROR(D7/B7,0)</f>
        <v>0.0208333333333333</v>
      </c>
      <c r="G7" s="11" t="n">
        <f aca="false">IFERROR(E7/B7,0)</f>
        <v>0.0208333333333333</v>
      </c>
      <c r="H7" s="11" t="n">
        <f aca="false">IFERROR(E7/D7,0)</f>
        <v>1</v>
      </c>
      <c r="I7" s="2" t="n">
        <f aca="false">B7-COUNTIFS(Interviews!$B$2:$B$26,A7,Interviews!$C$2:$C$26,"INVITE")</f>
        <v>48</v>
      </c>
      <c r="J7" s="2" t="n">
        <f aca="false">D7-COUNTIFS(Interviews!$B$2:$B$26,A7,Interviews!$C$2:$C$26,"INVITE")</f>
        <v>1</v>
      </c>
      <c r="K7" s="11" t="n">
        <f aca="false">IFERROR(J7/I7,0)</f>
        <v>0.0208333333333333</v>
      </c>
      <c r="L7" s="2" t="n">
        <f aca="false">SUMIFS(Data_Monthly!$D$2:$D$50,Data_Monthly!$C$2:$C$50,A7,Data_Monthly!$A$2:$A$50,"&lt;"&amp;DATE(2026,8,1))</f>
        <v>246</v>
      </c>
      <c r="M7" s="2" t="n">
        <f aca="false">SUMIFS(Data_Monthly!$E$2:$E$50,Data_Monthly!$C$2:$C$50,A7,Data_Monthly!$A$2:$A$50,"&lt;"&amp;DATE(2026,8,1))</f>
        <v>13</v>
      </c>
      <c r="N7" s="11" t="n">
        <f aca="false">IFERROR(M7/L7,0)</f>
        <v>0.0528455284552846</v>
      </c>
      <c r="O7" s="12" t="n">
        <f aca="false">F7-N7</f>
        <v>-0.0320121951219512</v>
      </c>
      <c r="P7" s="2" t="n">
        <f aca="false">RANK(K7,$K$5:$K$8,0)</f>
        <v>4</v>
      </c>
    </row>
    <row r="8" customFormat="false" ht="15" hidden="false" customHeight="false" outlineLevel="0" collapsed="false">
      <c r="A8" s="16" t="s">
        <v>144</v>
      </c>
      <c r="B8" s="2" t="n">
        <f aca="false">SUMIFS(Data_Monthly!$D$2:$D$50,Data_Monthly!$C$2:$C$50,A8,Data_Monthly!$A$2:$A$50,"&gt;="&amp;DATE(2026,8,1))</f>
        <v>41</v>
      </c>
      <c r="C8" s="11" t="n">
        <f aca="false">IFERROR(B8/$B$9,0)</f>
        <v>0.0850622406639004</v>
      </c>
      <c r="D8" s="2" t="n">
        <f aca="false">COUNTIFS(Interviews!$B$2:$B$26,A8)</f>
        <v>1</v>
      </c>
      <c r="E8" s="2" t="n">
        <f aca="false">SUMIFS(Interviews!$I$2:$I$26,Interviews!$B$2:$B$26,A8)</f>
        <v>0</v>
      </c>
      <c r="F8" s="11" t="n">
        <f aca="false">IFERROR(D8/B8,0)</f>
        <v>0.024390243902439</v>
      </c>
      <c r="G8" s="11" t="n">
        <f aca="false">IFERROR(E8/B8,0)</f>
        <v>0</v>
      </c>
      <c r="H8" s="11" t="n">
        <f aca="false">IFERROR(E8/D8,0)</f>
        <v>0</v>
      </c>
      <c r="I8" s="2" t="n">
        <f aca="false">B8-COUNTIFS(Interviews!$B$2:$B$26,A8,Interviews!$C$2:$C$26,"INVITE")</f>
        <v>41</v>
      </c>
      <c r="J8" s="2" t="n">
        <f aca="false">D8-COUNTIFS(Interviews!$B$2:$B$26,A8,Interviews!$C$2:$C$26,"INVITE")</f>
        <v>1</v>
      </c>
      <c r="K8" s="11" t="n">
        <f aca="false">IFERROR(J8/I8,0)</f>
        <v>0.024390243902439</v>
      </c>
      <c r="L8" s="2" t="n">
        <f aca="false">SUMIFS(Data_Monthly!$D$2:$D$50,Data_Monthly!$C$2:$C$50,A8,Data_Monthly!$A$2:$A$50,"&lt;"&amp;DATE(2026,8,1))</f>
        <v>268</v>
      </c>
      <c r="M8" s="2" t="n">
        <f aca="false">SUMIFS(Data_Monthly!$E$2:$E$50,Data_Monthly!$C$2:$C$50,A8,Data_Monthly!$A$2:$A$50,"&lt;"&amp;DATE(2026,8,1))</f>
        <v>23</v>
      </c>
      <c r="N8" s="11" t="n">
        <f aca="false">IFERROR(M8/L8,0)</f>
        <v>0.0858208955223881</v>
      </c>
      <c r="O8" s="12" t="n">
        <f aca="false">F8-N8</f>
        <v>-0.061430651619949</v>
      </c>
      <c r="P8" s="2" t="n">
        <f aca="false">RANK(K8,$K$5:$K$8,0)</f>
        <v>3</v>
      </c>
    </row>
    <row r="9" customFormat="false" ht="15" hidden="false" customHeight="false" outlineLevel="0" collapsed="false">
      <c r="A9" s="19" t="s">
        <v>163</v>
      </c>
      <c r="B9" s="19" t="n">
        <f aca="false">SUM(B5:B8)</f>
        <v>482</v>
      </c>
      <c r="C9" s="22" t="n">
        <f aca="false">SUM(C5:C8)</f>
        <v>1</v>
      </c>
      <c r="D9" s="19" t="n">
        <f aca="false">SUM(D5:D8)</f>
        <v>25</v>
      </c>
      <c r="E9" s="19" t="n">
        <f aca="false">SUM(E5:E8)</f>
        <v>3</v>
      </c>
      <c r="F9" s="22" t="n">
        <f aca="false">IFERROR(D9/B9,0)</f>
        <v>0.0518672199170125</v>
      </c>
      <c r="G9" s="22" t="n">
        <f aca="false">IFERROR(E9/B9,0)</f>
        <v>0.00622406639004149</v>
      </c>
      <c r="H9" s="22" t="n">
        <f aca="false">IFERROR(E9/D9,0)</f>
        <v>0.12</v>
      </c>
      <c r="I9" s="19" t="n">
        <f aca="false">SUM(I5:I8)</f>
        <v>481</v>
      </c>
      <c r="J9" s="19" t="n">
        <f aca="false">SUM(J5:J8)</f>
        <v>24</v>
      </c>
      <c r="K9" s="22" t="n">
        <f aca="false">IFERROR(J9/I9,0)</f>
        <v>0.0498960498960499</v>
      </c>
      <c r="L9" s="19" t="n">
        <f aca="false">SUMIFS(Data_Monthly!$D$2:$D$50,Data_Monthly!$A$2:$A$50,"&lt;"&amp;DATE(2026,8,1))</f>
        <v>2102</v>
      </c>
      <c r="M9" s="19" t="n">
        <f aca="false">SUMIFS(Data_Monthly!$E$2:$E$50,Data_Monthly!$A$2:$A$50,"&lt;"&amp;DATE(2026,8,1))</f>
        <v>158</v>
      </c>
      <c r="N9" s="22" t="n">
        <f aca="false">IFERROR(M9/L9,0)</f>
        <v>0.0751665080875357</v>
      </c>
      <c r="O9" s="24" t="n">
        <f aca="false">F9-N9</f>
        <v>-0.0232992881705232</v>
      </c>
      <c r="P9" s="20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5" hidden="false" customHeight="false" outlineLevel="0" collapsed="false">
      <c r="A11" s="3" t="s">
        <v>199</v>
      </c>
      <c r="B11" s="2"/>
      <c r="C11" s="2"/>
      <c r="D11" s="2" t="n">
        <f aca="false">Interviews!D27</f>
        <v>25</v>
      </c>
      <c r="E11" s="2" t="str">
        <f aca="false">IF(D11=D9,"OK","MISMATCH")</f>
        <v>OK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5" hidden="false" customHeight="false" outlineLevel="0" collapsed="false">
      <c r="A12" s="3" t="s">
        <v>200</v>
      </c>
      <c r="B12" s="2"/>
      <c r="C12" s="2"/>
      <c r="D12" s="2" t="n">
        <f aca="false">B9-I9</f>
        <v>1</v>
      </c>
      <c r="E12" s="2" t="str">
        <f aca="false">IF(D12=COUNTIFS(Interviews!$C$2:$C$26,"INVITE"),"OK","MISMATCH")</f>
        <v>OK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5" hidden="false" customHeight="false" outlineLevel="0" collapsed="false">
      <c r="A14" s="5" t="s">
        <v>28</v>
      </c>
      <c r="B14" s="2" t="str">
        <f aca="false">INDEX($A$5:$A$8,MATCH(MAX($B$5:$B$8),$B$5:$B$8,0))</f>
        <v>Yulia</v>
      </c>
      <c r="C14" s="2" t="n">
        <f aca="false">MAX(B5:B8)</f>
        <v>288</v>
      </c>
      <c r="D14" s="2" t="s">
        <v>201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5" hidden="false" customHeight="false" outlineLevel="0" collapsed="false">
      <c r="A15" s="5" t="s">
        <v>29</v>
      </c>
      <c r="B15" s="2" t="str">
        <f aca="false">INDEX($A$5:$A$8,MATCH(MAX($K$5:$K$8),$K$5:$K$8,0))</f>
        <v>Yulia</v>
      </c>
      <c r="C15" s="11" t="n">
        <f aca="false">MAX(K5:K8)</f>
        <v>0.0627177700348432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5" hidden="false" customHeight="false" outlineLevel="0" collapsed="false">
      <c r="A16" s="5" t="s">
        <v>202</v>
      </c>
      <c r="B16" s="2" t="str">
        <f aca="false">INDEX($A$5:$A$8,MATCH(MAX($G$5:$G$8),$G$5:$G$8,0))</f>
        <v>Shevk</v>
      </c>
      <c r="C16" s="25" t="n">
        <f aca="false">MAX(G5:G8)</f>
        <v>0.0208333333333333</v>
      </c>
      <c r="D16" s="3" t="s">
        <v>203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5" hidden="false" customHeight="false" outlineLevel="0" collapsed="false">
      <c r="A18" s="13" t="s">
        <v>204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39.55" hidden="false" customHeight="false" outlineLevel="0" collapsed="false">
      <c r="A19" s="26" t="s">
        <v>40</v>
      </c>
      <c r="B19" s="26" t="s">
        <v>26</v>
      </c>
      <c r="C19" s="26" t="s">
        <v>10</v>
      </c>
      <c r="D19" s="26" t="s">
        <v>11</v>
      </c>
      <c r="E19" s="26" t="s">
        <v>13</v>
      </c>
      <c r="F19" s="26" t="s">
        <v>15</v>
      </c>
      <c r="G19" s="26" t="s">
        <v>17</v>
      </c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5" hidden="false" customHeight="false" outlineLevel="0" collapsed="false">
      <c r="A20" s="16" t="s">
        <v>52</v>
      </c>
      <c r="B20" s="2" t="n">
        <f aca="false">B9-B21-B22</f>
        <v>476</v>
      </c>
      <c r="C20" s="2" t="n">
        <f aca="false">COUNTIFS(Interviews!$C$2:$C$26,A20)</f>
        <v>19</v>
      </c>
      <c r="D20" s="2" t="n">
        <f aca="false">SUMIFS(Interviews!$I$2:$I$26,Interviews!$C$2:$C$26,A20)</f>
        <v>1</v>
      </c>
      <c r="E20" s="11" t="n">
        <f aca="false">IFERROR(C20/B20,0)</f>
        <v>0.0399159663865546</v>
      </c>
      <c r="F20" s="11" t="n">
        <f aca="false">IFERROR(D20/B20,0)</f>
        <v>0.00210084033613445</v>
      </c>
      <c r="G20" s="11" t="n">
        <f aca="false">IFERROR(D20/C20,0)</f>
        <v>0.0526315789473684</v>
      </c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5" hidden="false" customHeight="false" outlineLevel="0" collapsed="false">
      <c r="A21" s="16" t="s">
        <v>79</v>
      </c>
      <c r="B21" s="2" t="n">
        <f aca="false">COUNTIFS(Interviews!$C$2:$C$26,A21)</f>
        <v>5</v>
      </c>
      <c r="C21" s="2" t="n">
        <f aca="false">COUNTIFS(Interviews!$C$2:$C$26,A21)</f>
        <v>5</v>
      </c>
      <c r="D21" s="2" t="n">
        <f aca="false">SUMIFS(Interviews!$I$2:$I$26,Interviews!$C$2:$C$26,A21)</f>
        <v>2</v>
      </c>
      <c r="E21" s="11" t="n">
        <f aca="false">IFERROR(C21/B21,0)</f>
        <v>1</v>
      </c>
      <c r="F21" s="11" t="n">
        <f aca="false">IFERROR(D21/B21,0)</f>
        <v>0.4</v>
      </c>
      <c r="G21" s="11" t="n">
        <f aca="false">IFERROR(D21/C21,0)</f>
        <v>0.4</v>
      </c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5" hidden="false" customHeight="false" outlineLevel="0" collapsed="false">
      <c r="A22" s="16" t="s">
        <v>58</v>
      </c>
      <c r="B22" s="2" t="n">
        <f aca="false">COUNTIFS(Interviews!$C$2:$C$26,A22)</f>
        <v>1</v>
      </c>
      <c r="C22" s="2" t="n">
        <f aca="false">COUNTIFS(Interviews!$C$2:$C$26,A22)</f>
        <v>1</v>
      </c>
      <c r="D22" s="2" t="n">
        <f aca="false">SUMIFS(Interviews!$I$2:$I$26,Interviews!$C$2:$C$26,A22)</f>
        <v>0</v>
      </c>
      <c r="E22" s="11" t="n">
        <f aca="false">IFERROR(C22/B22,0)</f>
        <v>1</v>
      </c>
      <c r="F22" s="11" t="n">
        <f aca="false">IFERROR(D22/B22,0)</f>
        <v>0</v>
      </c>
      <c r="G22" s="11" t="n">
        <f aca="false">IFERROR(D22/C22,0)</f>
        <v>0</v>
      </c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5" hidden="false" customHeight="false" outlineLevel="0" collapsed="false">
      <c r="A23" s="3" t="s">
        <v>205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0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1.5" hidden="false" customHeight="true" outlineLevel="0" collapsed="false">
      <c r="A3" s="4" t="s">
        <v>207</v>
      </c>
      <c r="B3" s="4" t="s">
        <v>208</v>
      </c>
      <c r="C3" s="4" t="s">
        <v>209</v>
      </c>
      <c r="D3" s="4" t="s">
        <v>210</v>
      </c>
      <c r="E3" s="4" t="s">
        <v>211</v>
      </c>
      <c r="F3" s="4" t="s">
        <v>212</v>
      </c>
      <c r="G3" s="4" t="s">
        <v>10</v>
      </c>
      <c r="H3" s="4" t="s">
        <v>11</v>
      </c>
      <c r="I3" s="4" t="s">
        <v>13</v>
      </c>
      <c r="J3" s="4" t="s">
        <v>213</v>
      </c>
      <c r="K3" s="4" t="s">
        <v>214</v>
      </c>
      <c r="L3" s="4" t="s">
        <v>215</v>
      </c>
    </row>
    <row r="4" customFormat="false" ht="15" hidden="false" customHeight="false" outlineLevel="0" collapsed="false">
      <c r="A4" s="15" t="n">
        <v>46230</v>
      </c>
      <c r="B4" s="16" t="n">
        <v>2</v>
      </c>
      <c r="C4" s="16" t="n">
        <v>3</v>
      </c>
      <c r="D4" s="16" t="n">
        <v>2</v>
      </c>
      <c r="E4" s="16" t="n">
        <v>5</v>
      </c>
      <c r="F4" s="2" t="n">
        <f aca="false">SUM(B4:E4)</f>
        <v>12</v>
      </c>
      <c r="G4" s="2" t="n">
        <f aca="false">COUNTIFS(Interviews!$A$2:$A$26,"&gt;="&amp;A4,Interviews!$A$2:$A$26,"&lt;"&amp;(A4+7))</f>
        <v>1</v>
      </c>
      <c r="H4" s="2" t="n">
        <f aca="false">SUMIFS(Interviews!$I$2:$I$26,Interviews!$A$2:$A$26,"&gt;="&amp;A4,Interviews!$A$2:$A$26,"&lt;"&amp;(A4+7))</f>
        <v>0</v>
      </c>
      <c r="I4" s="11" t="n">
        <f aca="false">IFERROR(G4/F4,0)</f>
        <v>0.0833333333333333</v>
      </c>
      <c r="J4" s="2"/>
      <c r="K4" s="2" t="n">
        <f aca="false">COUNTIFS(Interviews!$A$2:$A$26,"&gt;="&amp;A4,Interviews!$A$2:$A$26,"&lt;"&amp;(A4+7),Interviews!$B$2:$B$26,"Yulia")</f>
        <v>1</v>
      </c>
      <c r="L4" s="2" t="n">
        <f aca="false">G4-K4</f>
        <v>0</v>
      </c>
    </row>
    <row r="5" customFormat="false" ht="15" hidden="false" customHeight="false" outlineLevel="0" collapsed="false">
      <c r="A5" s="15" t="n">
        <v>46237</v>
      </c>
      <c r="B5" s="16" t="n">
        <v>5</v>
      </c>
      <c r="C5" s="16" t="n">
        <v>4</v>
      </c>
      <c r="D5" s="16" t="n">
        <v>3</v>
      </c>
      <c r="E5" s="16" t="n">
        <v>24</v>
      </c>
      <c r="F5" s="2" t="n">
        <f aca="false">SUM(B5:E5)</f>
        <v>36</v>
      </c>
      <c r="G5" s="2" t="n">
        <f aca="false">COUNTIFS(Interviews!$A$2:$A$26,"&gt;="&amp;A5,Interviews!$A$2:$A$26,"&lt;"&amp;(A5+7))</f>
        <v>3</v>
      </c>
      <c r="H5" s="2" t="n">
        <f aca="false">SUMIFS(Interviews!$I$2:$I$26,Interviews!$A$2:$A$26,"&gt;="&amp;A5,Interviews!$A$2:$A$26,"&lt;"&amp;(A5+7))</f>
        <v>0</v>
      </c>
      <c r="I5" s="11" t="n">
        <f aca="false">IFERROR(G5/F5,0)</f>
        <v>0.0833333333333333</v>
      </c>
      <c r="J5" s="2"/>
      <c r="K5" s="2" t="n">
        <f aca="false">COUNTIFS(Interviews!$A$2:$A$26,"&gt;="&amp;A5,Interviews!$A$2:$A$26,"&lt;"&amp;(A5+7),Interviews!$B$2:$B$26,"Yulia")</f>
        <v>3</v>
      </c>
      <c r="L5" s="2" t="n">
        <f aca="false">G5-K5</f>
        <v>0</v>
      </c>
    </row>
    <row r="6" customFormat="false" ht="15" hidden="false" customHeight="false" outlineLevel="0" collapsed="false">
      <c r="A6" s="15" t="n">
        <v>46244</v>
      </c>
      <c r="B6" s="16" t="n">
        <v>3</v>
      </c>
      <c r="C6" s="16" t="n">
        <v>11</v>
      </c>
      <c r="D6" s="16" t="n">
        <v>3</v>
      </c>
      <c r="E6" s="16" t="n">
        <v>25</v>
      </c>
      <c r="F6" s="2" t="n">
        <f aca="false">SUM(B6:E6)</f>
        <v>42</v>
      </c>
      <c r="G6" s="2" t="n">
        <f aca="false">COUNTIFS(Interviews!$A$2:$A$26,"&gt;="&amp;A6,Interviews!$A$2:$A$26,"&lt;"&amp;(A6+7))</f>
        <v>1</v>
      </c>
      <c r="H6" s="2" t="n">
        <f aca="false">SUMIFS(Interviews!$I$2:$I$26,Interviews!$A$2:$A$26,"&gt;="&amp;A6,Interviews!$A$2:$A$26,"&lt;"&amp;(A6+7))</f>
        <v>0</v>
      </c>
      <c r="I6" s="11" t="n">
        <f aca="false">IFERROR(G6/F6,0)</f>
        <v>0.0238095238095238</v>
      </c>
      <c r="J6" s="2"/>
      <c r="K6" s="2" t="n">
        <f aca="false">COUNTIFS(Interviews!$A$2:$A$26,"&gt;="&amp;A6,Interviews!$A$2:$A$26,"&lt;"&amp;(A6+7),Interviews!$B$2:$B$26,"Yulia")</f>
        <v>1</v>
      </c>
      <c r="L6" s="2" t="n">
        <f aca="false">G6-K6</f>
        <v>0</v>
      </c>
    </row>
    <row r="7" customFormat="false" ht="15" hidden="false" customHeight="false" outlineLevel="0" collapsed="false">
      <c r="A7" s="15" t="n">
        <v>46251</v>
      </c>
      <c r="B7" s="16" t="n">
        <v>3</v>
      </c>
      <c r="C7" s="16" t="n">
        <v>9</v>
      </c>
      <c r="D7" s="16" t="n">
        <v>1</v>
      </c>
      <c r="E7" s="16" t="n">
        <v>21</v>
      </c>
      <c r="F7" s="2" t="n">
        <f aca="false">SUM(B7:E7)</f>
        <v>34</v>
      </c>
      <c r="G7" s="2" t="n">
        <f aca="false">COUNTIFS(Interviews!$A$2:$A$26,"&gt;="&amp;A7,Interviews!$A$2:$A$26,"&lt;"&amp;(A7+7))</f>
        <v>4</v>
      </c>
      <c r="H7" s="2" t="n">
        <f aca="false">SUMIFS(Interviews!$I$2:$I$26,Interviews!$A$2:$A$26,"&gt;="&amp;A7,Interviews!$A$2:$A$26,"&lt;"&amp;(A7+7))</f>
        <v>0</v>
      </c>
      <c r="I7" s="11" t="n">
        <f aca="false">IFERROR(G7/F7,0)</f>
        <v>0.117647058823529</v>
      </c>
      <c r="J7" s="11" t="n">
        <f aca="false">IFERROR(SUM(G4:G7)/SUM(F4:F7),0)</f>
        <v>0.0725806451612903</v>
      </c>
      <c r="K7" s="2" t="n">
        <f aca="false">COUNTIFS(Interviews!$A$2:$A$26,"&gt;="&amp;A7,Interviews!$A$2:$A$26,"&lt;"&amp;(A7+7),Interviews!$B$2:$B$26,"Yulia")</f>
        <v>4</v>
      </c>
      <c r="L7" s="2" t="n">
        <f aca="false">G7-K7</f>
        <v>0</v>
      </c>
    </row>
    <row r="8" customFormat="false" ht="15" hidden="false" customHeight="false" outlineLevel="0" collapsed="false">
      <c r="A8" s="15" t="n">
        <v>46258</v>
      </c>
      <c r="B8" s="16" t="n">
        <v>4</v>
      </c>
      <c r="C8" s="16" t="n">
        <v>8</v>
      </c>
      <c r="D8" s="16" t="n">
        <v>3</v>
      </c>
      <c r="E8" s="16" t="n">
        <v>24</v>
      </c>
      <c r="F8" s="2" t="n">
        <f aca="false">SUM(B8:E8)</f>
        <v>39</v>
      </c>
      <c r="G8" s="2" t="n">
        <f aca="false">COUNTIFS(Interviews!$A$2:$A$26,"&gt;="&amp;A8,Interviews!$A$2:$A$26,"&lt;"&amp;(A8+7))</f>
        <v>0</v>
      </c>
      <c r="H8" s="2" t="n">
        <f aca="false">SUMIFS(Interviews!$I$2:$I$26,Interviews!$A$2:$A$26,"&gt;="&amp;A8,Interviews!$A$2:$A$26,"&lt;"&amp;(A8+7))</f>
        <v>0</v>
      </c>
      <c r="I8" s="11" t="n">
        <f aca="false">IFERROR(G8/F8,0)</f>
        <v>0</v>
      </c>
      <c r="J8" s="11" t="n">
        <f aca="false">IFERROR(SUM(G5:G8)/SUM(F5:F8),0)</f>
        <v>0.0529801324503311</v>
      </c>
      <c r="K8" s="2" t="n">
        <f aca="false">COUNTIFS(Interviews!$A$2:$A$26,"&gt;="&amp;A8,Interviews!$A$2:$A$26,"&lt;"&amp;(A8+7),Interviews!$B$2:$B$26,"Yulia")</f>
        <v>0</v>
      </c>
      <c r="L8" s="2" t="n">
        <f aca="false">G8-K8</f>
        <v>0</v>
      </c>
    </row>
    <row r="9" customFormat="false" ht="15" hidden="false" customHeight="false" outlineLevel="0" collapsed="false">
      <c r="A9" s="15" t="n">
        <v>46265</v>
      </c>
      <c r="B9" s="16" t="n">
        <v>4</v>
      </c>
      <c r="C9" s="16" t="n">
        <v>7</v>
      </c>
      <c r="D9" s="16" t="n">
        <v>4</v>
      </c>
      <c r="E9" s="16" t="n">
        <v>25</v>
      </c>
      <c r="F9" s="2" t="n">
        <f aca="false">SUM(B9:E9)</f>
        <v>40</v>
      </c>
      <c r="G9" s="2" t="n">
        <f aca="false">COUNTIFS(Interviews!$A$2:$A$26,"&gt;="&amp;A9,Interviews!$A$2:$A$26,"&lt;"&amp;(A9+7))</f>
        <v>3</v>
      </c>
      <c r="H9" s="2" t="n">
        <f aca="false">SUMIFS(Interviews!$I$2:$I$26,Interviews!$A$2:$A$26,"&gt;="&amp;A9,Interviews!$A$2:$A$26,"&lt;"&amp;(A9+7))</f>
        <v>2</v>
      </c>
      <c r="I9" s="11" t="n">
        <f aca="false">IFERROR(G9/F9,0)</f>
        <v>0.075</v>
      </c>
      <c r="J9" s="11" t="n">
        <f aca="false">IFERROR(SUM(G6:G9)/SUM(F6:F9),0)</f>
        <v>0.0516129032258065</v>
      </c>
      <c r="K9" s="2" t="n">
        <f aca="false">COUNTIFS(Interviews!$A$2:$A$26,"&gt;="&amp;A9,Interviews!$A$2:$A$26,"&lt;"&amp;(A9+7),Interviews!$B$2:$B$26,"Yulia")</f>
        <v>1</v>
      </c>
      <c r="L9" s="2" t="n">
        <f aca="false">G9-K9</f>
        <v>2</v>
      </c>
    </row>
    <row r="10" customFormat="false" ht="15" hidden="false" customHeight="false" outlineLevel="0" collapsed="false">
      <c r="A10" s="15" t="n">
        <v>46272</v>
      </c>
      <c r="B10" s="16" t="n">
        <v>3</v>
      </c>
      <c r="C10" s="16" t="n">
        <v>12</v>
      </c>
      <c r="D10" s="16" t="n">
        <v>4</v>
      </c>
      <c r="E10" s="16" t="n">
        <v>23</v>
      </c>
      <c r="F10" s="2" t="n">
        <f aca="false">SUM(B10:E10)</f>
        <v>42</v>
      </c>
      <c r="G10" s="2" t="n">
        <f aca="false">COUNTIFS(Interviews!$A$2:$A$26,"&gt;="&amp;A10,Interviews!$A$2:$A$26,"&lt;"&amp;(A10+7))</f>
        <v>1</v>
      </c>
      <c r="H10" s="2" t="n">
        <f aca="false">SUMIFS(Interviews!$I$2:$I$26,Interviews!$A$2:$A$26,"&gt;="&amp;A10,Interviews!$A$2:$A$26,"&lt;"&amp;(A10+7))</f>
        <v>0</v>
      </c>
      <c r="I10" s="11" t="n">
        <f aca="false">IFERROR(G10/F10,0)</f>
        <v>0.0238095238095238</v>
      </c>
      <c r="J10" s="11" t="n">
        <f aca="false">IFERROR(SUM(G7:G10)/SUM(F7:F10),0)</f>
        <v>0.0516129032258065</v>
      </c>
      <c r="K10" s="2" t="n">
        <f aca="false">COUNTIFS(Interviews!$A$2:$A$26,"&gt;="&amp;A10,Interviews!$A$2:$A$26,"&lt;"&amp;(A10+7),Interviews!$B$2:$B$26,"Yulia")</f>
        <v>0</v>
      </c>
      <c r="L10" s="2" t="n">
        <f aca="false">G10-K10</f>
        <v>1</v>
      </c>
    </row>
    <row r="11" customFormat="false" ht="15" hidden="false" customHeight="false" outlineLevel="0" collapsed="false">
      <c r="A11" s="15" t="n">
        <v>46279</v>
      </c>
      <c r="B11" s="16" t="n">
        <v>1</v>
      </c>
      <c r="C11" s="16" t="n">
        <v>9</v>
      </c>
      <c r="D11" s="16" t="n">
        <v>4</v>
      </c>
      <c r="E11" s="16" t="n">
        <v>30</v>
      </c>
      <c r="F11" s="2" t="n">
        <f aca="false">SUM(B11:E11)</f>
        <v>44</v>
      </c>
      <c r="G11" s="2" t="n">
        <f aca="false">COUNTIFS(Interviews!$A$2:$A$26,"&gt;="&amp;A11,Interviews!$A$2:$A$26,"&lt;"&amp;(A11+7))</f>
        <v>2</v>
      </c>
      <c r="H11" s="2" t="n">
        <f aca="false">SUMIFS(Interviews!$I$2:$I$26,Interviews!$A$2:$A$26,"&gt;="&amp;A11,Interviews!$A$2:$A$26,"&lt;"&amp;(A11+7))</f>
        <v>0</v>
      </c>
      <c r="I11" s="11" t="n">
        <f aca="false">IFERROR(G11/F11,0)</f>
        <v>0.0454545454545455</v>
      </c>
      <c r="J11" s="11" t="n">
        <f aca="false">IFERROR(SUM(G8:G11)/SUM(F8:F11),0)</f>
        <v>0.0363636363636364</v>
      </c>
      <c r="K11" s="2" t="n">
        <f aca="false">COUNTIFS(Interviews!$A$2:$A$26,"&gt;="&amp;A11,Interviews!$A$2:$A$26,"&lt;"&amp;(A11+7),Interviews!$B$2:$B$26,"Yulia")</f>
        <v>2</v>
      </c>
      <c r="L11" s="2" t="n">
        <f aca="false">G11-K11</f>
        <v>0</v>
      </c>
    </row>
    <row r="12" customFormat="false" ht="15" hidden="false" customHeight="false" outlineLevel="0" collapsed="false">
      <c r="A12" s="15" t="n">
        <v>46286</v>
      </c>
      <c r="B12" s="16" t="n">
        <v>4</v>
      </c>
      <c r="C12" s="16" t="n">
        <v>8</v>
      </c>
      <c r="D12" s="16" t="n">
        <v>8</v>
      </c>
      <c r="E12" s="16" t="n">
        <v>21</v>
      </c>
      <c r="F12" s="2" t="n">
        <f aca="false">SUM(B12:E12)</f>
        <v>41</v>
      </c>
      <c r="G12" s="2" t="n">
        <f aca="false">COUNTIFS(Interviews!$A$2:$A$26,"&gt;="&amp;A12,Interviews!$A$2:$A$26,"&lt;"&amp;(A12+7))</f>
        <v>2</v>
      </c>
      <c r="H12" s="2" t="n">
        <f aca="false">SUMIFS(Interviews!$I$2:$I$26,Interviews!$A$2:$A$26,"&gt;="&amp;A12,Interviews!$A$2:$A$26,"&lt;"&amp;(A12+7))</f>
        <v>0</v>
      </c>
      <c r="I12" s="11" t="n">
        <f aca="false">IFERROR(G12/F12,0)</f>
        <v>0.0487804878048781</v>
      </c>
      <c r="J12" s="11" t="n">
        <f aca="false">IFERROR(SUM(G9:G12)/SUM(F9:F12),0)</f>
        <v>0.0479041916167665</v>
      </c>
      <c r="K12" s="2" t="n">
        <f aca="false">COUNTIFS(Interviews!$A$2:$A$26,"&gt;="&amp;A12,Interviews!$A$2:$A$26,"&lt;"&amp;(A12+7),Interviews!$B$2:$B$26,"Yulia")</f>
        <v>2</v>
      </c>
      <c r="L12" s="2" t="n">
        <f aca="false">G12-K12</f>
        <v>0</v>
      </c>
    </row>
    <row r="13" customFormat="false" ht="15" hidden="false" customHeight="false" outlineLevel="0" collapsed="false">
      <c r="A13" s="15" t="n">
        <v>46293</v>
      </c>
      <c r="B13" s="16" t="n">
        <v>6</v>
      </c>
      <c r="C13" s="16" t="n">
        <v>7</v>
      </c>
      <c r="D13" s="16" t="n">
        <v>5</v>
      </c>
      <c r="E13" s="16" t="n">
        <v>33</v>
      </c>
      <c r="F13" s="2" t="n">
        <f aca="false">SUM(B13:E13)</f>
        <v>51</v>
      </c>
      <c r="G13" s="2" t="n">
        <f aca="false">COUNTIFS(Interviews!$A$2:$A$26,"&gt;="&amp;A13,Interviews!$A$2:$A$26,"&lt;"&amp;(A13+7))</f>
        <v>5</v>
      </c>
      <c r="H13" s="2" t="n">
        <f aca="false">SUMIFS(Interviews!$I$2:$I$26,Interviews!$A$2:$A$26,"&gt;="&amp;A13,Interviews!$A$2:$A$26,"&lt;"&amp;(A13+7))</f>
        <v>0</v>
      </c>
      <c r="I13" s="11" t="n">
        <f aca="false">IFERROR(G13/F13,0)</f>
        <v>0.0980392156862745</v>
      </c>
      <c r="J13" s="11" t="n">
        <f aca="false">IFERROR(SUM(G10:G13)/SUM(F10:F13),0)</f>
        <v>0.0561797752808989</v>
      </c>
      <c r="K13" s="2" t="n">
        <f aca="false">COUNTIFS(Interviews!$A$2:$A$26,"&gt;="&amp;A13,Interviews!$A$2:$A$26,"&lt;"&amp;(A13+7),Interviews!$B$2:$B$26,"Yulia")</f>
        <v>4</v>
      </c>
      <c r="L13" s="2" t="n">
        <f aca="false">G13-K13</f>
        <v>1</v>
      </c>
    </row>
    <row r="14" customFormat="false" ht="15" hidden="false" customHeight="false" outlineLevel="0" collapsed="false">
      <c r="A14" s="15" t="n">
        <v>46300</v>
      </c>
      <c r="B14" s="16" t="n">
        <v>3</v>
      </c>
      <c r="C14" s="16" t="n">
        <v>15</v>
      </c>
      <c r="D14" s="16" t="n">
        <v>5</v>
      </c>
      <c r="E14" s="16" t="n">
        <v>26</v>
      </c>
      <c r="F14" s="2" t="n">
        <f aca="false">SUM(B14:E14)</f>
        <v>49</v>
      </c>
      <c r="G14" s="2" t="n">
        <f aca="false">COUNTIFS(Interviews!$A$2:$A$26,"&gt;="&amp;A14,Interviews!$A$2:$A$26,"&lt;"&amp;(A14+7))</f>
        <v>0</v>
      </c>
      <c r="H14" s="2" t="n">
        <f aca="false">SUMIFS(Interviews!$I$2:$I$26,Interviews!$A$2:$A$26,"&gt;="&amp;A14,Interviews!$A$2:$A$26,"&lt;"&amp;(A14+7))</f>
        <v>0</v>
      </c>
      <c r="I14" s="11" t="n">
        <f aca="false">IFERROR(G14/F14,0)</f>
        <v>0</v>
      </c>
      <c r="J14" s="11" t="n">
        <f aca="false">IFERROR(SUM(G11:G14)/SUM(F11:F14),0)</f>
        <v>0.0486486486486487</v>
      </c>
      <c r="K14" s="2" t="n">
        <f aca="false">COUNTIFS(Interviews!$A$2:$A$26,"&gt;="&amp;A14,Interviews!$A$2:$A$26,"&lt;"&amp;(A14+7),Interviews!$B$2:$B$26,"Yulia")</f>
        <v>0</v>
      </c>
      <c r="L14" s="2" t="n">
        <f aca="false">G14-K14</f>
        <v>0</v>
      </c>
    </row>
    <row r="15" customFormat="false" ht="15" hidden="false" customHeight="false" outlineLevel="0" collapsed="false">
      <c r="A15" s="15" t="n">
        <v>46307</v>
      </c>
      <c r="B15" s="16" t="n">
        <v>2</v>
      </c>
      <c r="C15" s="16" t="n">
        <v>9</v>
      </c>
      <c r="D15" s="16" t="n">
        <v>6</v>
      </c>
      <c r="E15" s="16" t="n">
        <v>25</v>
      </c>
      <c r="F15" s="2" t="n">
        <f aca="false">SUM(B15:E15)</f>
        <v>42</v>
      </c>
      <c r="G15" s="2" t="n">
        <f aca="false">COUNTIFS(Interviews!$A$2:$A$26,"&gt;="&amp;A15,Interviews!$A$2:$A$26,"&lt;"&amp;(A15+7))</f>
        <v>2</v>
      </c>
      <c r="H15" s="2" t="n">
        <f aca="false">SUMIFS(Interviews!$I$2:$I$26,Interviews!$A$2:$A$26,"&gt;="&amp;A15,Interviews!$A$2:$A$26,"&lt;"&amp;(A15+7))</f>
        <v>1</v>
      </c>
      <c r="I15" s="11" t="n">
        <f aca="false">IFERROR(G15/F15,0)</f>
        <v>0.0476190476190476</v>
      </c>
      <c r="J15" s="11" t="n">
        <f aca="false">IFERROR(SUM(G12:G15)/SUM(F12:F15),0)</f>
        <v>0.0491803278688525</v>
      </c>
      <c r="K15" s="2" t="n">
        <f aca="false">COUNTIFS(Interviews!$A$2:$A$26,"&gt;="&amp;A15,Interviews!$A$2:$A$26,"&lt;"&amp;(A15+7),Interviews!$B$2:$B$26,"Yulia")</f>
        <v>1</v>
      </c>
      <c r="L15" s="2" t="n">
        <f aca="false">G15-K15</f>
        <v>1</v>
      </c>
    </row>
    <row r="16" customFormat="false" ht="15" hidden="false" customHeight="false" outlineLevel="0" collapsed="false">
      <c r="A16" s="15" t="n">
        <v>46314</v>
      </c>
      <c r="B16" s="16" t="n">
        <v>1</v>
      </c>
      <c r="C16" s="16" t="n">
        <v>3</v>
      </c>
      <c r="D16" s="16" t="n">
        <v>0</v>
      </c>
      <c r="E16" s="16" t="n">
        <v>6</v>
      </c>
      <c r="F16" s="2" t="n">
        <f aca="false">SUM(B16:E16)</f>
        <v>10</v>
      </c>
      <c r="G16" s="2" t="n">
        <f aca="false">COUNTIFS(Interviews!$A$2:$A$26,"&gt;="&amp;A16,Interviews!$A$2:$A$26,"&lt;"&amp;(A16+7))</f>
        <v>1</v>
      </c>
      <c r="H16" s="2" t="n">
        <f aca="false">SUMIFS(Interviews!$I$2:$I$26,Interviews!$A$2:$A$26,"&gt;="&amp;A16,Interviews!$A$2:$A$26,"&lt;"&amp;(A16+7))</f>
        <v>0</v>
      </c>
      <c r="I16" s="11" t="n">
        <f aca="false">IFERROR(G16/F16,0)</f>
        <v>0.1</v>
      </c>
      <c r="J16" s="11" t="n">
        <f aca="false">IFERROR(SUM(G13:G16)/SUM(F13:F16),0)</f>
        <v>0.0526315789473684</v>
      </c>
      <c r="K16" s="2" t="n">
        <f aca="false">COUNTIFS(Interviews!$A$2:$A$26,"&gt;="&amp;A16,Interviews!$A$2:$A$26,"&lt;"&amp;(A16+7),Interviews!$B$2:$B$26,"Yulia")</f>
        <v>0</v>
      </c>
      <c r="L16" s="2" t="n">
        <f aca="false">G16-K16</f>
        <v>1</v>
      </c>
    </row>
    <row r="17" customFormat="false" ht="15" hidden="false" customHeight="false" outlineLevel="0" collapsed="false">
      <c r="A17" s="19" t="s">
        <v>163</v>
      </c>
      <c r="B17" s="19" t="n">
        <f aca="false">SUM(B4:B16)</f>
        <v>41</v>
      </c>
      <c r="C17" s="19" t="n">
        <f aca="false">SUM(C4:C16)</f>
        <v>105</v>
      </c>
      <c r="D17" s="19" t="n">
        <f aca="false">SUM(D4:D16)</f>
        <v>48</v>
      </c>
      <c r="E17" s="19" t="n">
        <f aca="false">SUM(E4:E16)</f>
        <v>288</v>
      </c>
      <c r="F17" s="19" t="n">
        <f aca="false">SUM(F4:F16)</f>
        <v>482</v>
      </c>
      <c r="G17" s="19" t="n">
        <f aca="false">SUM(G4:G16)</f>
        <v>25</v>
      </c>
      <c r="H17" s="19" t="n">
        <f aca="false">SUM(H4:H16)</f>
        <v>3</v>
      </c>
      <c r="I17" s="22" t="n">
        <f aca="false">IFERROR(G17/F17,0)</f>
        <v>0.0518672199170125</v>
      </c>
      <c r="J17" s="20"/>
      <c r="K17" s="19" t="n">
        <f aca="false">SUM(K4:K16)</f>
        <v>19</v>
      </c>
      <c r="L17" s="19" t="n">
        <f aca="false">SUM(L4:L16)</f>
        <v>6</v>
      </c>
    </row>
    <row r="18" customFormat="false" ht="15" hidden="false" customHeight="false" outlineLevel="0" collapsed="false">
      <c r="A18" s="3" t="s">
        <v>216</v>
      </c>
      <c r="B18" s="2"/>
      <c r="C18" s="2"/>
      <c r="D18" s="2"/>
      <c r="E18" s="2"/>
      <c r="F18" s="2" t="str">
        <f aca="false">IF(F17='By Profile'!B9,"OK","MISMATCH")</f>
        <v>OK</v>
      </c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3" t="s">
        <v>217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218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219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4" t="s">
        <v>50</v>
      </c>
      <c r="B4" s="4" t="s">
        <v>41</v>
      </c>
      <c r="C4" s="4" t="s">
        <v>42</v>
      </c>
      <c r="D4" s="4" t="s">
        <v>39</v>
      </c>
      <c r="E4" s="4" t="s">
        <v>40</v>
      </c>
      <c r="F4" s="4" t="s">
        <v>38</v>
      </c>
      <c r="G4" s="4" t="s">
        <v>220</v>
      </c>
      <c r="H4" s="4" t="s">
        <v>221</v>
      </c>
    </row>
    <row r="5" customFormat="false" ht="15" hidden="false" customHeight="false" outlineLevel="0" collapsed="false">
      <c r="A5" s="15" t="n">
        <v>46239</v>
      </c>
      <c r="B5" s="16" t="s">
        <v>222</v>
      </c>
      <c r="C5" s="16" t="s">
        <v>223</v>
      </c>
      <c r="D5" s="16" t="s">
        <v>51</v>
      </c>
      <c r="E5" s="16" t="s">
        <v>79</v>
      </c>
      <c r="F5" s="15" t="n">
        <v>46227</v>
      </c>
      <c r="G5" s="2" t="n">
        <f aca="false">IF(A5="","",A5-F5)</f>
        <v>12</v>
      </c>
      <c r="H5" s="2" t="n">
        <f aca="false">IF(AND(A5&gt;=DATE(2026,8,1),A5&lt;=DATE(2026,10,20)),1,0)</f>
        <v>1</v>
      </c>
    </row>
    <row r="6" customFormat="false" ht="15" hidden="false" customHeight="false" outlineLevel="0" collapsed="false">
      <c r="A6" s="15" t="n">
        <v>46273</v>
      </c>
      <c r="B6" s="16" t="s">
        <v>99</v>
      </c>
      <c r="C6" s="16" t="s">
        <v>100</v>
      </c>
      <c r="D6" s="16" t="s">
        <v>93</v>
      </c>
      <c r="E6" s="16" t="s">
        <v>52</v>
      </c>
      <c r="F6" s="15" t="n">
        <v>46269</v>
      </c>
      <c r="G6" s="2" t="n">
        <f aca="false">IF(A6="","",A6-F6)</f>
        <v>4</v>
      </c>
      <c r="H6" s="2" t="n">
        <f aca="false">IF(AND(A6&gt;=DATE(2026,8,1),A6&lt;=DATE(2026,10,20)),1,0)</f>
        <v>1</v>
      </c>
    </row>
    <row r="7" customFormat="false" ht="15" hidden="false" customHeight="false" outlineLevel="0" collapsed="false">
      <c r="A7" s="15" t="n">
        <v>46283</v>
      </c>
      <c r="B7" s="16" t="s">
        <v>94</v>
      </c>
      <c r="C7" s="16" t="s">
        <v>95</v>
      </c>
      <c r="D7" s="16" t="s">
        <v>93</v>
      </c>
      <c r="E7" s="16" t="s">
        <v>79</v>
      </c>
      <c r="F7" s="15" t="n">
        <v>46268</v>
      </c>
      <c r="G7" s="2" t="n">
        <f aca="false">IF(A7="","",A7-F7)</f>
        <v>15</v>
      </c>
      <c r="H7" s="2" t="n">
        <f aca="false">IF(AND(A7&gt;=DATE(2026,8,1),A7&lt;=DATE(2026,10,20)),1,0)</f>
        <v>1</v>
      </c>
    </row>
    <row r="8" customFormat="false" ht="15" hidden="false" customHeight="false" outlineLevel="0" collapsed="false">
      <c r="A8" s="15" t="n">
        <v>46308</v>
      </c>
      <c r="B8" s="16" t="s">
        <v>150</v>
      </c>
      <c r="C8" s="16" t="s">
        <v>151</v>
      </c>
      <c r="D8" s="16" t="s">
        <v>149</v>
      </c>
      <c r="E8" s="16" t="s">
        <v>79</v>
      </c>
      <c r="F8" s="15" t="n">
        <v>46307</v>
      </c>
      <c r="G8" s="2" t="n">
        <f aca="false">IF(A8="","",A8-F8)</f>
        <v>1</v>
      </c>
      <c r="H8" s="2" t="n">
        <f aca="false">IF(AND(A8&gt;=DATE(2026,8,1),A8&lt;=DATE(2026,10,20)),1,0)</f>
        <v>1</v>
      </c>
    </row>
    <row r="9" customFormat="false" ht="15" hidden="false" customHeight="false" outlineLevel="0" collapsed="false">
      <c r="A9" s="15"/>
      <c r="B9" s="16" t="s">
        <v>224</v>
      </c>
      <c r="C9" s="16" t="s">
        <v>225</v>
      </c>
      <c r="D9" s="16" t="s">
        <v>51</v>
      </c>
      <c r="E9" s="16" t="s">
        <v>79</v>
      </c>
      <c r="F9" s="15" t="n">
        <v>46211</v>
      </c>
      <c r="G9" s="2" t="str">
        <f aca="false">IF(A9="","",A9-F9)</f>
        <v/>
      </c>
      <c r="H9" s="2" t="n">
        <f aca="false">IF(AND(A9&gt;=DATE(2026,8,1),A9&lt;=DATE(2026,10,20)),1,0)</f>
        <v>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19" t="s">
        <v>226</v>
      </c>
      <c r="B11" s="20"/>
      <c r="C11" s="20"/>
      <c r="D11" s="20"/>
      <c r="E11" s="20"/>
      <c r="F11" s="20"/>
      <c r="G11" s="20"/>
      <c r="H11" s="19" t="n">
        <f aca="false">SUM(H5:H9)</f>
        <v>4</v>
      </c>
    </row>
    <row r="12" customFormat="false" ht="15" hidden="false" customHeight="false" outlineLevel="0" collapsed="false">
      <c r="A12" s="19" t="s">
        <v>227</v>
      </c>
      <c r="B12" s="20"/>
      <c r="C12" s="20"/>
      <c r="D12" s="20"/>
      <c r="E12" s="20"/>
      <c r="F12" s="20"/>
      <c r="G12" s="20"/>
      <c r="H12" s="19" t="n">
        <f aca="false">SUMPRODUCT((H5:H9=1)*(E5:E9="Nstya"))</f>
        <v>3</v>
      </c>
    </row>
    <row r="13" customFormat="false" ht="15" hidden="false" customHeight="false" outlineLevel="0" collapsed="false">
      <c r="A13" s="19" t="s">
        <v>228</v>
      </c>
      <c r="B13" s="20"/>
      <c r="C13" s="20"/>
      <c r="D13" s="20"/>
      <c r="E13" s="20"/>
      <c r="F13" s="20"/>
      <c r="G13" s="20"/>
      <c r="H13" s="23" t="n">
        <f aca="false">AVERAGE(G5:G9)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7" t="s">
        <v>229</v>
      </c>
    </row>
    <row r="2" customFormat="false" ht="15" hidden="false" customHeight="false" outlineLevel="0" collapsed="false">
      <c r="A2" s="28" t="s">
        <v>230</v>
      </c>
    </row>
    <row r="3" customFormat="false" ht="15" hidden="false" customHeight="false" outlineLevel="0" collapsed="false">
      <c r="A3" s="28" t="s">
        <v>231</v>
      </c>
    </row>
    <row r="4" customFormat="false" ht="15" hidden="false" customHeight="false" outlineLevel="0" collapsed="false">
      <c r="A4" s="28" t="s">
        <v>232</v>
      </c>
    </row>
    <row r="5" customFormat="false" ht="26.85" hidden="false" customHeight="false" outlineLevel="0" collapsed="false">
      <c r="A5" s="28" t="s">
        <v>233</v>
      </c>
    </row>
    <row r="6" customFormat="false" ht="15" hidden="false" customHeight="false" outlineLevel="0" collapsed="false">
      <c r="A6" s="28" t="s">
        <v>234</v>
      </c>
    </row>
    <row r="7" customFormat="false" ht="15" hidden="false" customHeight="false" outlineLevel="0" collapsed="false">
      <c r="A7" s="28"/>
    </row>
    <row r="8" customFormat="false" ht="15" hidden="false" customHeight="false" outlineLevel="0" collapsed="false">
      <c r="A8" s="27" t="s">
        <v>235</v>
      </c>
    </row>
    <row r="9" customFormat="false" ht="26.85" hidden="false" customHeight="false" outlineLevel="0" collapsed="false">
      <c r="A9" s="28" t="s">
        <v>236</v>
      </c>
    </row>
    <row r="10" customFormat="false" ht="15" hidden="false" customHeight="false" outlineLevel="0" collapsed="false">
      <c r="A10" s="28"/>
    </row>
    <row r="11" customFormat="false" ht="15" hidden="false" customHeight="false" outlineLevel="0" collapsed="false">
      <c r="A11" s="27" t="s">
        <v>237</v>
      </c>
    </row>
    <row r="12" customFormat="false" ht="26.85" hidden="false" customHeight="false" outlineLevel="0" collapsed="false">
      <c r="A12" s="28" t="s">
        <v>238</v>
      </c>
    </row>
    <row r="13" customFormat="false" ht="15" hidden="false" customHeight="false" outlineLevel="0" collapsed="false">
      <c r="A13" s="28" t="s">
        <v>239</v>
      </c>
    </row>
    <row r="14" customFormat="false" ht="15" hidden="false" customHeight="false" outlineLevel="0" collapsed="false">
      <c r="A14" s="28" t="s">
        <v>240</v>
      </c>
    </row>
    <row r="15" customFormat="false" ht="15" hidden="false" customHeight="false" outlineLevel="0" collapsed="false">
      <c r="A15" s="28" t="s">
        <v>241</v>
      </c>
    </row>
    <row r="16" customFormat="false" ht="26.85" hidden="false" customHeight="false" outlineLevel="0" collapsed="false">
      <c r="A16" s="28" t="s">
        <v>242</v>
      </c>
    </row>
    <row r="17" customFormat="false" ht="15" hidden="false" customHeight="false" outlineLevel="0" collapsed="false">
      <c r="A17" s="28" t="s">
        <v>243</v>
      </c>
    </row>
    <row r="18" customFormat="false" ht="15" hidden="false" customHeight="false" outlineLevel="0" collapsed="false">
      <c r="A18" s="28"/>
    </row>
    <row r="19" customFormat="false" ht="15" hidden="false" customHeight="false" outlineLevel="0" collapsed="false">
      <c r="A19" s="28" t="s">
        <v>244</v>
      </c>
    </row>
    <row r="20" customFormat="false" ht="26.85" hidden="false" customHeight="false" outlineLevel="0" collapsed="false">
      <c r="A20" s="28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2026-10-20T09:31:34Z</dcterms:created>
  <dc:creator>openpyxl</dc:creator>
  <dc:description/>
  <dc:language>en-US</dc:language>
  <cp:lastModifiedBy/>
  <dcterms:modified xsi:type="dcterms:W3CDTF">2026-10-20T09:31:37Z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