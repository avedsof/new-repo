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terviews" sheetId="2" state="visible" r:id="rId4"/>
    <sheet name="Data_Monthly" sheetId="3" state="visible" r:id="rId5"/>
    <sheet name="Monthly Trend" sheetId="4" state="visible" r:id="rId6"/>
    <sheet name="By Profile" sheetId="5" state="visible" r:id="rId7"/>
    <sheet name="Weekly Trend" sheetId="6" state="visible" r:id="rId8"/>
    <sheet name="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Per-day change: Aug–Oct total ÷ 81 days vs Jan–Jul total ÷ 212 days.</t>
        </r>
      </text>
    </comment>
    <comment ref="D7" authorId="0">
      <text>
        <r>
          <rPr>
            <sz val="10"/>
            <rFont val="Arial"/>
            <family val="2"/>
          </rPr>
          <t xml:space="preserve">Per-day change: Aug–Oct total ÷ 81 days vs Jan–Jul total ÷ 212 days.</t>
        </r>
      </text>
    </comment>
    <comment ref="D8" authorId="0">
      <text>
        <r>
          <rPr>
            <sz val="10"/>
            <rFont val="Arial"/>
            <family val="2"/>
          </rPr>
          <t xml:space="preserve">Per-day change: Aug–Oct total ÷ 81 days vs Jan–Jul total ÷ 212 days.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Blank = stage never set in Notion. Only 9 of 24 interviews have a stage.</t>
        </r>
      </text>
    </comment>
    <comment ref="J1" authorId="0">
      <text>
        <r>
          <rPr>
            <sz val="10"/>
            <rFont val="Arial"/>
            <family val="2"/>
          </rPr>
          <t xml:space="preserve">Interview Started minus Bid Date. Michael Wong (53 days) is a late re-engagement.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4" authorId="0">
      <text>
        <r>
          <rPr>
            <sz val="10"/>
            <rFont val="Arial"/>
            <family val="2"/>
          </rPr>
          <t xml:space="preserve">Oct counted to 20 Oct (date of pull).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" authorId="0">
      <text>
        <r>
          <rPr>
            <sz val="10"/>
            <rFont val="Arial"/>
            <family val="2"/>
          </rPr>
          <t xml:space="preserve">Sum of the four profiles. Must equal Interviews!D total.</t>
        </r>
      </text>
    </comment>
    <comment ref="L9" authorId="0">
      <text>
        <r>
          <rPr>
            <sz val="10"/>
            <rFont val="Arial"/>
            <family val="2"/>
          </rPr>
          <t xml:space="preserve">Jan–Jul also includes Nastya profile (96 bids) and 3 bids with no profile, not shown in rows above.</t>
        </r>
      </text>
    </comment>
  </commentList>
</comments>
</file>

<file path=xl/sharedStrings.xml><?xml version="1.0" encoding="utf-8"?>
<sst xmlns="http://schemas.openxmlformats.org/spreadsheetml/2006/main" count="472" uniqueCount="223">
  <si>
    <t xml:space="preserve">Upwork bid funnel, 1 Aug – 20 Oct 2026</t>
  </si>
  <si>
    <t xml:space="preserve">Built from Notion: Upwork Bids + Interviews. All numbers below are formulas over the other tabs.</t>
  </si>
  <si>
    <t xml:space="preserve">Metric</t>
  </si>
  <si>
    <t xml:space="preserve">Aug–Oct</t>
  </si>
  <si>
    <t xml:space="preserve">Jan–Jul baseline</t>
  </si>
  <si>
    <t xml:space="preserve">Change</t>
  </si>
  <si>
    <t xml:space="preserve">What it means</t>
  </si>
  <si>
    <t xml:space="preserve">Bids sent</t>
  </si>
  <si>
    <t xml:space="preserve">Volume is down about 40% per day: 5.9 bids a day vs 9.9 in Jan–Jul.</t>
  </si>
  <si>
    <t xml:space="preserve">Bids per day</t>
  </si>
  <si>
    <t xml:space="preserve">Interviews</t>
  </si>
  <si>
    <t xml:space="preserve">Won</t>
  </si>
  <si>
    <t xml:space="preserve">One win since 1 Aug (Selva Ganesan, Polina). It is marked Won only in Interviews, not in Upwork Bids.</t>
  </si>
  <si>
    <t xml:space="preserve">Bid → Interview</t>
  </si>
  <si>
    <t xml:space="preserve">5.0%, flat every month (5.3%, 5.0%, 4.5%). That matches Mar–Jul (5.3%). The Jan–Jul average is lifted by Jan–Feb (10–14%).</t>
  </si>
  <si>
    <t xml:space="preserve">Bid → Won</t>
  </si>
  <si>
    <t xml:space="preserve">The real drop. Jan–Jul turned about 1 in 84 bids into a win; Aug–Oct is 1 in 481.</t>
  </si>
  <si>
    <t xml:space="preserve">Interview → Won</t>
  </si>
  <si>
    <t xml:space="preserve">Interviews are not closing: 1 of 24 vs 25 of 158 (16%). 15 of 24 have no stage set and none has a Lost reason.</t>
  </si>
  <si>
    <t xml:space="preserve">Organic Bid → Interview (Leadgen = Alex)</t>
  </si>
  <si>
    <t xml:space="preserve">Strips out 5 Nstya / INVITE bids that are logged only after they convert.</t>
  </si>
  <si>
    <t xml:space="preserve">Avg days from bid to interview</t>
  </si>
  <si>
    <t xml:space="preserve">Upwork profiles (Aug–Oct)</t>
  </si>
  <si>
    <t xml:space="preserve">Profile</t>
  </si>
  <si>
    <t xml:space="preserve">Bids</t>
  </si>
  <si>
    <t xml:space="preserve">Organic Bid → Interview</t>
  </si>
  <si>
    <t xml:space="preserve">Most bids</t>
  </si>
  <si>
    <t xml:space="preserve">Best organic Bid → Interview</t>
  </si>
  <si>
    <t xml:space="preserve">Findings</t>
  </si>
  <si>
    <t xml:space="preserve">1. Yulia carries the funnel. She sends 60% of bids (288) and gets 19 of 24 interviews: 6.6% overall, 5.6% organic. That's down from 8.2% in Jan–Jul but still the best profile.</t>
  </si>
  <si>
    <t xml:space="preserve">2. Polina sends 22% of bids (104) at 2.9% (1.9% organic, 2 of 103), down from 7.1%. Her one Won (Selva Ganesan) is a test assignment the client didn't continue, per the Upwork thread.</t>
  </si>
  <si>
    <t xml:space="preserve">3. Andrew (41 bids, 1 interview, 2.4%) and Shevk (48 bids, 0 organic interviews) are the weakest. In Jan–Jul they ran at 8.6% and 5.3%. Shevk's only interview (Marc Staal) came through Nstya.</t>
  </si>
  <si>
    <t xml:space="preserve">4. Full weeks hold at 34–51 bids. Interviews come in bursts: 4 in the week of 17 Aug and 5 in the week of 28 Sep, none in the weeks of 24 Aug and 5 Oct. The rolling 4-week rate sits between 3% and 7%.</t>
  </si>
  <si>
    <t xml:space="preserve">5. Bid → Interview is in line with Mar–Jul (5.0% vs 5.3%). The drop is after the interview: Interview → Won fell from 19% in Mar–Jul (14 of 74) to 4% (1 of 24).</t>
  </si>
  <si>
    <t xml:space="preserve">6. Data gaps limit the win analysis. No bid since 1 Aug has Status = Won, 15 of 24 interviews have no Interview Stage and none has a Lost reason. 8 interviews are still open (Waiting / Estimation) and may still close.</t>
  </si>
  <si>
    <t xml:space="preserve">Bid Date</t>
  </si>
  <si>
    <t xml:space="preserve">Upwork Profile</t>
  </si>
  <si>
    <t xml:space="preserve">Leadgen</t>
  </si>
  <si>
    <t xml:space="preserve">Client</t>
  </si>
  <si>
    <t xml:space="preserve">Job Title</t>
  </si>
  <si>
    <t xml:space="preserve">Bid Status (Upwork Bids)</t>
  </si>
  <si>
    <t xml:space="preserve">Interview Stage (Interviews)</t>
  </si>
  <si>
    <t xml:space="preserve">Interview Started</t>
  </si>
  <si>
    <t xml:space="preserve">Won (1/0)</t>
  </si>
  <si>
    <t xml:space="preserve">Days bid → interview</t>
  </si>
  <si>
    <t xml:space="preserve">Bid page</t>
  </si>
  <si>
    <t xml:space="preserve">Interview page</t>
  </si>
  <si>
    <t xml:space="preserve">Yulia</t>
  </si>
  <si>
    <t xml:space="preserve">Alex</t>
  </si>
  <si>
    <t xml:space="preserve">Mark Lawrance</t>
  </si>
  <si>
    <t xml:space="preserve">WordPress Website for Osteopathy Clinic</t>
  </si>
  <si>
    <t xml:space="preserve">Interview</t>
  </si>
  <si>
    <t xml:space="preserve">https://app.notion.com/p/3aebd8b60a6380ffae17f7a8640b3a9f</t>
  </si>
  <si>
    <t xml:space="preserve">https://app.notion.com/p/3babd8b60a6381d7a9fadb59a24e4ab4</t>
  </si>
  <si>
    <t xml:space="preserve">INVITE</t>
  </si>
  <si>
    <t xml:space="preserve">Nila Artika</t>
  </si>
  <si>
    <t xml:space="preserve">Front-End Web Developer (Hubspot Automations Skills is a Bonus)</t>
  </si>
  <si>
    <t xml:space="preserve">https://app.notion.com/p/3b1bd8b60a6380fe8972fba06776352c</t>
  </si>
  <si>
    <t xml:space="preserve">https://app.notion.com/p/3b1bd8b60a6381d5b12bef45d16ee5c7</t>
  </si>
  <si>
    <t xml:space="preserve">Osasu Sule</t>
  </si>
  <si>
    <t xml:space="preserve">Coming Soon Website Designer Needed</t>
  </si>
  <si>
    <t xml:space="preserve">https://app.notion.com/p/3b6bd8b60a6380c3a9d4cd6fc4e0d4ba</t>
  </si>
  <si>
    <t xml:space="preserve">https://app.notion.com/p/3b8bd8b60a6381939f0cd23fb0bc08cf</t>
  </si>
  <si>
    <t xml:space="preserve">Kevin Brennan</t>
  </si>
  <si>
    <t xml:space="preserve">Simple Website for Executive Coaching</t>
  </si>
  <si>
    <t xml:space="preserve">https://app.notion.com/p/3b6bd8b60a6380b58dffcf1fb2048c16</t>
  </si>
  <si>
    <t xml:space="preserve">https://app.notion.com/p/3babd8b60a638162859ceafb39eec6ef</t>
  </si>
  <si>
    <t xml:space="preserve">Omer Atli</t>
  </si>
  <si>
    <t xml:space="preserve">Senior Web &amp; UI/UX Designer for Healthcare AI Company</t>
  </si>
  <si>
    <t xml:space="preserve">https://app.notion.com/p/3bcbd8b60a638036999afddb9f2997df</t>
  </si>
  <si>
    <t xml:space="preserve">https://app.notion.com/p/3bcbd8b60a63815abc31ccd14e852a23</t>
  </si>
  <si>
    <t xml:space="preserve">Lillian Bess</t>
  </si>
  <si>
    <t xml:space="preserve">Website Designer - Word Press</t>
  </si>
  <si>
    <t xml:space="preserve">https://app.notion.com/p/3bfbd8b60a638059bc48fcfbfe32712d</t>
  </si>
  <si>
    <t xml:space="preserve">https://app.notion.com/p/3bfbd8b60a638121bb3ef3c819d9a781</t>
  </si>
  <si>
    <t xml:space="preserve">Nstya</t>
  </si>
  <si>
    <t xml:space="preserve">Michael Wong Loi Sing</t>
  </si>
  <si>
    <t xml:space="preserve">WordPress Elementor Pro Website Design</t>
  </si>
  <si>
    <t xml:space="preserve">Waiting for Response</t>
  </si>
  <si>
    <t xml:space="preserve">https://app.notion.com/p/3f4bd8b60a6380979690d118872c5fe7</t>
  </si>
  <si>
    <t xml:space="preserve">https://app.notion.com/p/3f4bd8b60a6381d99b8ce80422adedf3</t>
  </si>
  <si>
    <t xml:space="preserve">Liu Yin</t>
  </si>
  <si>
    <t xml:space="preserve">Redesign &amp; Relaunch Wordpress Website</t>
  </si>
  <si>
    <t xml:space="preserve">https://app.notion.com/p/3c1bd8b60a6380e68ff5e16d9dc90a05</t>
  </si>
  <si>
    <t xml:space="preserve">https://app.notion.com/p/3c3bd8b60a6381c485e8f231672ce4c5</t>
  </si>
  <si>
    <t xml:space="preserve">Roxana Siman</t>
  </si>
  <si>
    <t xml:space="preserve">Creative Web Designer &amp; Developer for Marketing Agency Website</t>
  </si>
  <si>
    <t xml:space="preserve">https://app.notion.com/p/3c5bd8b60a6380f9beffec7f6ebf7bcc</t>
  </si>
  <si>
    <t xml:space="preserve">https://app.notion.com/p/3c9bd8b60a6381bcb17ee7bea7f0dbd1</t>
  </si>
  <si>
    <t xml:space="preserve">Polina</t>
  </si>
  <si>
    <t xml:space="preserve">Selva Ganesan</t>
  </si>
  <si>
    <t xml:space="preserve">Figma Designer for Website Visuals</t>
  </si>
  <si>
    <t xml:space="preserve">https://app.notion.com/p/3d1bd8b60a6380f8b80af7ded3b1d693</t>
  </si>
  <si>
    <t xml:space="preserve">https://app.notion.com/p/3d3bd8b60a63812c9b83c241d0759778</t>
  </si>
  <si>
    <t xml:space="preserve">Kevin Marcum</t>
  </si>
  <si>
    <t xml:space="preserve">GeneratePress Premium + GenerateBlocks Developer for Custom WordPress Landing Page</t>
  </si>
  <si>
    <t xml:space="preserve">https://app.notion.com/p/3d2bd8b60a6380239fbbf2e5caf3535b</t>
  </si>
  <si>
    <t xml:space="preserve">https://app.notion.com/p/3d3bd8b60a6381b88a86eeb3ed090c66</t>
  </si>
  <si>
    <t xml:space="preserve">Alex Andrei</t>
  </si>
  <si>
    <t xml:space="preserve">Amazing UI / UX Designer</t>
  </si>
  <si>
    <t xml:space="preserve">https://app.notion.com/p/3d7bd8b60a6380d09a13c7ea99f5c73d</t>
  </si>
  <si>
    <t xml:space="preserve">https://app.notion.com/p/3ddbd8b60a638178b0c7e3683708efe0</t>
  </si>
  <si>
    <t xml:space="preserve">Edward Horrocks</t>
  </si>
  <si>
    <t xml:space="preserve">Website Developer to Build Site from Figma Design</t>
  </si>
  <si>
    <t xml:space="preserve">https://app.notion.com/p/3dcbd8b60a6380e2b52cf7954feedfe4</t>
  </si>
  <si>
    <t xml:space="preserve">https://app.notion.com/p/3ddbd8b60a6381baa7b1f0a2af8af605</t>
  </si>
  <si>
    <t xml:space="preserve">Darian James</t>
  </si>
  <si>
    <t xml:space="preserve">Premium Website &amp; Brand Design for Executive Transportation Company (Homepage First)</t>
  </si>
  <si>
    <t xml:space="preserve">https://app.notion.com/p/3ddbd8b60a6380b3ac7afeb14ac92545</t>
  </si>
  <si>
    <t xml:space="preserve">https://app.notion.com/p/3dfbd8b60a638185ab0cec5a8d146a51</t>
  </si>
  <si>
    <t xml:space="preserve">Luke Stajkovic</t>
  </si>
  <si>
    <t xml:space="preserve">WordPress / Elementor Designer &amp; Developer for a Personal Brand Website</t>
  </si>
  <si>
    <t xml:space="preserve">https://app.notion.com/p/3e2bd8b60a6380dd8ae2d1f13da0c938</t>
  </si>
  <si>
    <t xml:space="preserve">https://app.notion.com/p/3e2bd8b60a63819d908fe4dfdd23e43a</t>
  </si>
  <si>
    <t xml:space="preserve">Tiina Luck</t>
  </si>
  <si>
    <t xml:space="preserve">Figma web designer for ongoing agency work</t>
  </si>
  <si>
    <t xml:space="preserve">https://app.notion.com/p/3e6bd8b60a63805f9b19cbdf75e9db07</t>
  </si>
  <si>
    <t xml:space="preserve">https://app.notion.com/p/3edbd8b60a6381beaaefdda254fc9bdd</t>
  </si>
  <si>
    <t xml:space="preserve">Nicea Murray</t>
  </si>
  <si>
    <t xml:space="preserve">Digital Partner / WordPress Website Designer &amp; Developer – K–5 Education</t>
  </si>
  <si>
    <t xml:space="preserve">Disqualified</t>
  </si>
  <si>
    <t xml:space="preserve">https://app.notion.com/p/3ebbd8b60a63806baf49fc5adfddb1f7</t>
  </si>
  <si>
    <t xml:space="preserve">https://app.notion.com/p/3ebbd8b60a6381d8b49ae30dfc77e68f</t>
  </si>
  <si>
    <t xml:space="preserve">Mill Creek</t>
  </si>
  <si>
    <t xml:space="preserve">WordPress Website Rebuild with Elementor Pro</t>
  </si>
  <si>
    <t xml:space="preserve">https://app.notion.com/p/3ebbd8b60a63809a96abd3aef15d0a3a</t>
  </si>
  <si>
    <t xml:space="preserve">https://app.notion.com/p/3edbd8b60a638155a8bbc9626f125089</t>
  </si>
  <si>
    <t xml:space="preserve">Derrick Clayton</t>
  </si>
  <si>
    <t xml:space="preserve">Senior Web Designer &amp; Developer for Premium Consumer Brand Landing Page</t>
  </si>
  <si>
    <t xml:space="preserve">https://app.notion.com/p/3edbd8b60a6380be9060ed914eb29833</t>
  </si>
  <si>
    <t xml:space="preserve">https://app.notion.com/p/3edbd8b60a63819291d2cda5658a5b85</t>
  </si>
  <si>
    <t xml:space="preserve">Michael Joseph</t>
  </si>
  <si>
    <t xml:space="preserve">Experienced Web Designer/Developer Needed for Two Professional Websites</t>
  </si>
  <si>
    <t xml:space="preserve">https://app.notion.com/p/3efbd8b60a638082810dc2c800331cd9</t>
  </si>
  <si>
    <t xml:space="preserve">https://app.notion.com/p/3f1bd8b60a638190b44fd0aa570788e3</t>
  </si>
  <si>
    <t xml:space="preserve">Andrew</t>
  </si>
  <si>
    <t xml:space="preserve">Matt Charles</t>
  </si>
  <si>
    <t xml:space="preserve">Website Designer for a Luxury B2B Brand — Full-Stack, Member Portal Experience</t>
  </si>
  <si>
    <t xml:space="preserve">https://app.notion.com/p/3efbd8b60a6380c89a41ed9957e880d0</t>
  </si>
  <si>
    <t xml:space="preserve">https://app.notion.com/p/3efbd8b60a638180a8fdceec5de0cf41</t>
  </si>
  <si>
    <t xml:space="preserve">Shevk</t>
  </si>
  <si>
    <t xml:space="preserve">Marc Staal</t>
  </si>
  <si>
    <t xml:space="preserve">Wordpress developer for a start-up</t>
  </si>
  <si>
    <t xml:space="preserve">Estimation</t>
  </si>
  <si>
    <t xml:space="preserve">https://app.notion.com/p/3f7bd8b60a638005ac71ff3702d1cc69</t>
  </si>
  <si>
    <t xml:space="preserve">https://app.notion.com/p/3f7bd8b60a6381a98a0beffc50495ba7</t>
  </si>
  <si>
    <t xml:space="preserve">Anish Bhalsod</t>
  </si>
  <si>
    <t xml:space="preserve">UI/UX + Graphic Designer</t>
  </si>
  <si>
    <t xml:space="preserve">https://app.notion.com/p/3fbbd8b60a6380cfa966da65cf868718</t>
  </si>
  <si>
    <t xml:space="preserve">https://app.notion.com/p/3fcbd8b60a63818fb584f73da73ebad6</t>
  </si>
  <si>
    <t xml:space="preserve">Alexandra Gavilano</t>
  </si>
  <si>
    <t xml:space="preserve">Webdesign for decolonial solidarity work</t>
  </si>
  <si>
    <t xml:space="preserve">https://app.notion.com/p/3febd8b60a63802fa6f7e12a6dba6554</t>
  </si>
  <si>
    <t xml:space="preserve">https://app.notion.com/p/3febd8b60a6381deb4bef9ab2288aa08</t>
  </si>
  <si>
    <t xml:space="preserve">Total</t>
  </si>
  <si>
    <t xml:space="preserve">Source: Notion Upwork Bids (Status = Interview, Bid Date ≥ 2026-08-01) joined to Interviews via "Related Bid". Pulled 2026-10-20. Blue = values copied from Notion. Won = Bid Status contains "Won" OR Interview Stage = "Won".</t>
  </si>
  <si>
    <t xml:space="preserve">Month start</t>
  </si>
  <si>
    <t xml:space="preserve">Month</t>
  </si>
  <si>
    <t xml:space="preserve">Period</t>
  </si>
  <si>
    <t xml:space="preserve">2026-01</t>
  </si>
  <si>
    <t xml:space="preserve">Baseline Jan–Jul</t>
  </si>
  <si>
    <t xml:space="preserve">Nastya</t>
  </si>
  <si>
    <t xml:space="preserve">(none)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</si>
  <si>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</si>
  <si>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</si>
  <si>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</si>
  <si>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</si>
  <si>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</si>
  <si>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</si>
  <si>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</si>
  <si>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</si>
  <si>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</si>
  <si>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Source: Notion Upwork Bids grouped by Bid Date month and Upwork Profile, pulled 2026-10-20. Blue = copied from Notion. Jan–Jul Interviews/Won come from the Bids "Status" field only. Aug–Oct Interviews/Won are counted live from the Interviews tab (adds Interview Stage = Won).</t>
  </si>
  <si>
    <t xml:space="preserve">Monthly funnel, Jan–Oct 2026 (focus: Aug–Oct)</t>
  </si>
  <si>
    <t xml:space="preserve">Oct is partial (1–20 Oct). Interviews counted by the month the bid was sent.</t>
  </si>
  <si>
    <t xml:space="preserve">Days counted</t>
  </si>
  <si>
    <t xml:space="preserve">Aug–Oct (period)</t>
  </si>
  <si>
    <t xml:space="preserve">Mar–Jul (excl. Jan–Feb peak)</t>
  </si>
  <si>
    <t xml:space="preserve">Change, period vs baseline</t>
  </si>
  <si>
    <t xml:space="preserve">pts / bids per day</t>
  </si>
  <si>
    <t xml:space="preserve">Upwork profile performance, 1 Aug – 20 Oct 2026</t>
  </si>
  <si>
    <t xml:space="preserve">"Organic" = bids where Leadgen = Alex. Nstya / INVITE bids are only logged once they convert, which inflates the all-bids rate.</t>
  </si>
  <si>
    <t xml:space="preserve">Share of bids</t>
  </si>
  <si>
    <t xml:space="preserve">Organic bids (Leadgen = Alex)</t>
  </si>
  <si>
    <t xml:space="preserve">Organic interviews</t>
  </si>
  <si>
    <t xml:space="preserve">Bids Jan–Jul</t>
  </si>
  <si>
    <t xml:space="preserve">Interviews Jan–Jul</t>
  </si>
  <si>
    <t xml:space="preserve">Bid → Interview Jan–Jul</t>
  </si>
  <si>
    <t xml:space="preserve">Change vs Jan–Jul</t>
  </si>
  <si>
    <t xml:space="preserve">Rank by organic Bid → Interview</t>
  </si>
  <si>
    <t xml:space="preserve">Check: interviews in Interviews tab</t>
  </si>
  <si>
    <t xml:space="preserve">Check: non-organic bids (Nstya / INVITE) = their interviews, i.e. logged only on conversion</t>
  </si>
  <si>
    <t xml:space="preserve">bids</t>
  </si>
  <si>
    <t xml:space="preserve">Best Bid → Won</t>
  </si>
  <si>
    <t xml:space="preserve">1 win in the period; too few to rank profiles on wins</t>
  </si>
  <si>
    <t xml:space="preserve">Weekly funnel (weeks start Monday; first week counts 1–2 Aug only, last week counts 19–20 Oct)</t>
  </si>
  <si>
    <t xml:space="preserve">Week start</t>
  </si>
  <si>
    <t xml:space="preserve">Andrew bids</t>
  </si>
  <si>
    <t xml:space="preserve">Polina bids</t>
  </si>
  <si>
    <t xml:space="preserve">Shevk bids</t>
  </si>
  <si>
    <t xml:space="preserve">Yulia bids</t>
  </si>
  <si>
    <t xml:space="preserve">Total bids</t>
  </si>
  <si>
    <t xml:space="preserve">Rolling 4-wk Bid → Interview</t>
  </si>
  <si>
    <t xml:space="preserve">Yulia interviews</t>
  </si>
  <si>
    <t xml:space="preserve">Other profiles interviews</t>
  </si>
  <si>
    <t xml:space="preserve">Check vs By Profile bids</t>
  </si>
  <si>
    <t xml:space="preserve">Source: Notion Upwork Bids grouped by week of Bid Date and Upwork Profile, pulled 2026-10-20 (blue). Interviews / Won count live from the Interviews tab.</t>
  </si>
  <si>
    <t xml:space="preserve">Definitions</t>
  </si>
  <si>
    <t xml:space="preserve">Bid → Interview = interviews ÷ bids sent in the same period, counted by Bid Date (cohort view).</t>
  </si>
  <si>
    <t xml:space="preserve">Bid → Won = won ÷ bids. Interview → Won = won ÷ interviews.</t>
  </si>
  <si>
    <t xml:space="preserve">Interview = Upwork Bids Status contains "Interview". All 24 since 1 Aug have a matching Interviews record.</t>
  </si>
  <si>
    <t xml:space="preserve">Won (Aug–Oct) = Bids Status contains "Won" OR Interviews Stage = "Won". Won (Jan–Jul) = Bids Status only. This may understate baseline wins a little.</t>
  </si>
  <si>
    <t xml:space="preserve">Organic = Leadgen "Alex". Leadgen "Nstya" (4 bids) and "INVITE" (1 bid) appear only once they converted, so they show a false 100% rate.</t>
  </si>
  <si>
    <t xml:space="preserve">Recent wins outside the cohort (bid sent before 1 Aug)</t>
  </si>
  <si>
    <t xml:space="preserve">Ben Jacoby (Yulia, bid 24 Jul, won 5 Aug) and John Brown (Yulia, bid 8 Jul, Stage Won). Counted in July, not in Aug–Oct.</t>
  </si>
  <si>
    <t xml:space="preserve">Data issues to fix in Notion</t>
  </si>
  <si>
    <t xml:space="preserve">1. Selva Ganesan is Won in Interviews but not in Upwork Bids Status.</t>
  </si>
  <si>
    <t xml:space="preserve">2. 15 of 24 interviews have no Interview Stage. None has a Lost reason.</t>
  </si>
  <si>
    <t xml:space="preserve">3. "Kevin Marcum" interview page is titled with the job name.</t>
  </si>
  <si>
    <t xml:space="preserve">4. Interview Started for Michael Wong (9 Oct) is 53 days after the bid. The Interviews record was probably created late.</t>
  </si>
  <si>
    <t xml:space="preserve">5. Bids from Leadgen Nstya are logged only when they convert. To compare leadgens, log all Nstya bids.</t>
  </si>
  <si>
    <t xml:space="preserve">Colour key: blue text = values copied from Notion (edit these to update), black = formulas.</t>
  </si>
  <si>
    <t xml:space="preserve">Source pulled 2026-10-20 from Notion collections Upwork Bids (2bdbd8b6-0a63-8122-822b-000be14dd371) and Interviews (fd213f62-e364-4257-9ebd-67edd75e1e21).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</si>
</sst>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-#,##0;\-"/>
    <numFmt numFmtId="166" formatCode="\+0%;\-0%;0%"/>
    <numFmt numFmtId="167" formatCode="0.0"/>
    <numFmt numFmtId="168" formatCode="\+0.0;\-0.0;0.0"/>
    <numFmt numFmtId="169" formatCode="0.0%;\-0.0%;\-"/>
    <numFmt numFmtId="170" formatCode="\+0.0%;\-0.0%;0.0%"/>
    <numFmt numFmtId="171" formatCode="yyyy\-mm\-dd"/>
    <numFmt numFmtId="172" formatCode="General"/>
    <numFmt numFmtId="173" formatCode="0%"/>
    <numFmt numFmtId="174" formatCode="0.0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BBB59"/>
      <rgbColor rgb="FFFFCC00"/>
      <rgbColor rgb="FFFF9900"/>
      <rgbColor rgb="FFFF6600"/>
      <rgbColor rgb="FF8064A2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Bid → Interview rate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Trend'!F4</c:f>
              <c:strCache>
                <c:ptCount val="1"/>
                <c:pt idx="0">
                  <c:v>Bid → Interview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Trend'!$B$5:$B$14</c:f>
              <c:strCache>
                <c:ptCount val="10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</c:strCache>
            </c:strRef>
          </c:cat>
          <c:val>
            <c:numRef>
              <c:f>'Monthly Trend'!$F$5:$F$14</c:f>
              <c:numCache>
                <c:formatCode>0.0%;\-0.0%;\-</c:formatCode>
                <c:ptCount val="10"/>
                <c:pt idx="0">
                  <c:v>0.104477611940299</c:v>
                </c:pt>
                <c:pt idx="1">
                  <c:v>0.136871508379888</c:v>
                </c:pt>
                <c:pt idx="2">
                  <c:v>0.05</c:v>
                </c:pt>
                <c:pt idx="3">
                  <c:v>0.043613707165109</c:v>
                </c:pt>
                <c:pt idx="4">
                  <c:v>0.0723270440251572</c:v>
                </c:pt>
                <c:pt idx="5">
                  <c:v>0.0428571428571429</c:v>
                </c:pt>
                <c:pt idx="6">
                  <c:v>0.052</c:v>
                </c:pt>
                <c:pt idx="7">
                  <c:v>0.0529411764705882</c:v>
                </c:pt>
                <c:pt idx="8">
                  <c:v>0.0502793296089386</c:v>
                </c:pt>
                <c:pt idx="9">
                  <c:v>0.0454545454545455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711966"/>
        <c:axId val="62064957"/>
      </c:lineChart>
      <c:catAx>
        <c:axId val="247119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64957"/>
        <c:crosses val="autoZero"/>
        <c:auto val="1"/>
        <c:lblAlgn val="ctr"/>
        <c:lblOffset val="100"/>
        <c:noMultiLvlLbl val="0"/>
      </c:catAx>
      <c:valAx>
        <c:axId val="620649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119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Bids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'Monthly Trend'!C4</c:f>
              <c:strCache>
                <c:ptCount val="1"/>
                <c:pt idx="0">
                  <c:v>Bids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Trend'!$B$5:$B$14</c:f>
              <c:strCache>
                <c:ptCount val="10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</c:strCache>
            </c:strRef>
          </c:cat>
          <c:val>
            <c:numRef>
              <c:f>'Monthly Trend'!$C$5:$C$14</c:f>
              <c:numCache>
                <c:formatCode>General</c:formatCode>
                <c:ptCount val="10"/>
                <c:pt idx="0">
                  <c:v>335</c:v>
                </c:pt>
                <c:pt idx="1">
                  <c:v>358</c:v>
                </c:pt>
                <c:pt idx="2">
                  <c:v>240</c:v>
                </c:pt>
                <c:pt idx="3">
                  <c:v>321</c:v>
                </c:pt>
                <c:pt idx="4">
                  <c:v>318</c:v>
                </c:pt>
                <c:pt idx="5">
                  <c:v>280</c:v>
                </c:pt>
                <c:pt idx="6">
                  <c:v>250</c:v>
                </c:pt>
                <c:pt idx="7">
                  <c:v>170</c:v>
                </c:pt>
                <c:pt idx="8">
                  <c:v>179</c:v>
                </c:pt>
                <c:pt idx="9">
                  <c:v>132</c:v>
                </c:pt>
              </c:numCache>
            </c:numRef>
          </c:val>
        </c:ser>
        <c:gapWidth val="150"/>
        <c:overlap val="0"/>
        <c:axId val="41509499"/>
        <c:axId val="64805181"/>
      </c:barChart>
      <c:catAx>
        <c:axId val="41509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05181"/>
        <c:crosses val="autoZero"/>
        <c:auto val="1"/>
        <c:lblAlgn val="ctr"/>
        <c:lblOffset val="100"/>
        <c:noMultiLvlLbl val="0"/>
      </c:catAx>
      <c:valAx>
        <c:axId val="648051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094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Bids per profile (Aug–Oct)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'By Profile'!B4</c:f>
              <c:strCache>
                <c:ptCount val="1"/>
                <c:pt idx="0">
                  <c:v>Bids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Profile'!$A$5:$A$8</c:f>
              <c:strCache>
                <c:ptCount val="4"/>
                <c:pt idx="0">
                  <c:v>Yulia</c:v>
                </c:pt>
                <c:pt idx="1">
                  <c:v>Polina</c:v>
                </c:pt>
                <c:pt idx="2">
                  <c:v>Shevk</c:v>
                </c:pt>
                <c:pt idx="3">
                  <c:v>Andrew</c:v>
                </c:pt>
              </c:strCache>
            </c:strRef>
          </c:cat>
          <c:val>
            <c:numRef>
              <c:f>'By Profile'!$B$5:$B$8</c:f>
              <c:numCache>
                <c:formatCode>General</c:formatCode>
                <c:ptCount val="4"/>
                <c:pt idx="0">
                  <c:v>288</c:v>
                </c:pt>
                <c:pt idx="1">
                  <c:v>104</c:v>
                </c:pt>
                <c:pt idx="2">
                  <c:v>48</c:v>
                </c:pt>
                <c:pt idx="3">
                  <c:v>41</c:v>
                </c:pt>
              </c:numCache>
            </c:numRef>
          </c:val>
        </c:ser>
        <c:gapWidth val="150"/>
        <c:overlap val="0"/>
        <c:axId val="39156027"/>
        <c:axId val="82967012"/>
      </c:barChart>
      <c:catAx>
        <c:axId val="391560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67012"/>
        <c:crosses val="autoZero"/>
        <c:auto val="1"/>
        <c:lblAlgn val="ctr"/>
        <c:lblOffset val="100"/>
        <c:noMultiLvlLbl val="0"/>
      </c:catAx>
      <c:valAx>
        <c:axId val="82967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560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Bid → Interview: all vs organic vs Jan–Jul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'By Profile'!F4</c:f>
              <c:strCache>
                <c:ptCount val="1"/>
                <c:pt idx="0">
                  <c:v>Bid → Interview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Profile'!$A$5:$A$8</c:f>
              <c:strCache>
                <c:ptCount val="4"/>
                <c:pt idx="0">
                  <c:v>Yulia</c:v>
                </c:pt>
                <c:pt idx="1">
                  <c:v>Polina</c:v>
                </c:pt>
                <c:pt idx="2">
                  <c:v>Shevk</c:v>
                </c:pt>
                <c:pt idx="3">
                  <c:v>Andrew</c:v>
                </c:pt>
              </c:strCache>
            </c:strRef>
          </c:cat>
          <c:val>
            <c:numRef>
              <c:f>'By Profile'!$F$5:$F$8</c:f>
              <c:numCache>
                <c:formatCode>0.0%;\-0.0%;\-</c:formatCode>
                <c:ptCount val="4"/>
                <c:pt idx="0">
                  <c:v>0.0659722222222222</c:v>
                </c:pt>
                <c:pt idx="1">
                  <c:v>0.0288461538461538</c:v>
                </c:pt>
                <c:pt idx="2">
                  <c:v>0.0208333333333333</c:v>
                </c:pt>
                <c:pt idx="3">
                  <c:v>0.024390243902439</c:v>
                </c:pt>
              </c:numCache>
            </c:numRef>
          </c:val>
        </c:ser>
        <c:ser>
          <c:idx val="1"/>
          <c:order val="1"/>
          <c:tx>
            <c:strRef>
              <c:f>'By Profile'!K4</c:f>
              <c:strCache>
                <c:ptCount val="1"/>
                <c:pt idx="0">
                  <c:v>Organic Bid → Interview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Profile'!$A$5:$A$8</c:f>
              <c:strCache>
                <c:ptCount val="4"/>
                <c:pt idx="0">
                  <c:v>Yulia</c:v>
                </c:pt>
                <c:pt idx="1">
                  <c:v>Polina</c:v>
                </c:pt>
                <c:pt idx="2">
                  <c:v>Shevk</c:v>
                </c:pt>
                <c:pt idx="3">
                  <c:v>Andrew</c:v>
                </c:pt>
              </c:strCache>
            </c:strRef>
          </c:cat>
          <c:val>
            <c:numRef>
              <c:f>'By Profile'!$K$5:$K$8</c:f>
              <c:numCache>
                <c:formatCode>0.0%;\-0.0%;\-</c:formatCode>
                <c:ptCount val="4"/>
                <c:pt idx="0">
                  <c:v>0.056140350877193</c:v>
                </c:pt>
                <c:pt idx="1">
                  <c:v>0.0194174757281553</c:v>
                </c:pt>
                <c:pt idx="2">
                  <c:v>0</c:v>
                </c:pt>
                <c:pt idx="3">
                  <c:v>0.024390243902439</c:v>
                </c:pt>
              </c:numCache>
            </c:numRef>
          </c:val>
        </c:ser>
        <c:ser>
          <c:idx val="2"/>
          <c:order val="2"/>
          <c:tx>
            <c:strRef>
              <c:f>'By Profile'!N4</c:f>
              <c:strCache>
                <c:ptCount val="1"/>
                <c:pt idx="0">
                  <c:v>Bid → Interview Jan–Jul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'By Profile'!$A$5:$A$8</c:f>
              <c:strCache>
                <c:ptCount val="4"/>
                <c:pt idx="0">
                  <c:v>Yulia</c:v>
                </c:pt>
                <c:pt idx="1">
                  <c:v>Polina</c:v>
                </c:pt>
                <c:pt idx="2">
                  <c:v>Shevk</c:v>
                </c:pt>
                <c:pt idx="3">
                  <c:v>Andrew</c:v>
                </c:pt>
              </c:strCache>
            </c:strRef>
          </c:cat>
          <c:val>
            <c:numRef>
              <c:f>'By Profile'!$N$5:$N$8</c:f>
              <c:numCache>
                <c:formatCode>0.0%;\-0.0%;\-</c:formatCode>
                <c:ptCount val="4"/>
                <c:pt idx="0">
                  <c:v>0.082089552238806</c:v>
                </c:pt>
                <c:pt idx="1">
                  <c:v>0.0710382513661202</c:v>
                </c:pt>
                <c:pt idx="2">
                  <c:v>0.0528455284552846</c:v>
                </c:pt>
                <c:pt idx="3">
                  <c:v>0.0858208955223881</c:v>
                </c:pt>
              </c:numCache>
            </c:numRef>
          </c:val>
        </c:ser>
        <c:gapWidth val="150"/>
        <c:overlap val="0"/>
        <c:axId val="35607884"/>
        <c:axId val="35759569"/>
      </c:barChart>
      <c:catAx>
        <c:axId val="356078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59569"/>
        <c:crosses val="autoZero"/>
        <c:auto val="1"/>
        <c:lblAlgn val="ctr"/>
        <c:lblOffset val="100"/>
        <c:noMultiLvlLbl val="0"/>
      </c:catAx>
      <c:valAx>
        <c:axId val="35759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078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Weekly bids by profile + rolling 4-week Bid → Interview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'Weekly Trend'!B3</c:f>
              <c:strCache>
                <c:ptCount val="1"/>
                <c:pt idx="0">
                  <c:v>Andrew bids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Trend'!$A$4:$A$16</c:f>
              <c:strCache>
                <c:ptCount val="13"/>
                <c:pt idx="0">
                  <c:v>2026-07-27</c:v>
                </c:pt>
                <c:pt idx="1">
                  <c:v>2026-08-03</c:v>
                </c:pt>
                <c:pt idx="2">
                  <c:v>2026-08-10</c:v>
                </c:pt>
                <c:pt idx="3">
                  <c:v>2026-08-17</c:v>
                </c:pt>
                <c:pt idx="4">
                  <c:v>2026-08-24</c:v>
                </c:pt>
                <c:pt idx="5">
                  <c:v>2026-08-31</c:v>
                </c:pt>
                <c:pt idx="6">
                  <c:v>2026-09-07</c:v>
                </c:pt>
                <c:pt idx="7">
                  <c:v>2026-09-14</c:v>
                </c:pt>
                <c:pt idx="8">
                  <c:v>2026-09-21</c:v>
                </c:pt>
                <c:pt idx="9">
                  <c:v>2026-09-28</c:v>
                </c:pt>
                <c:pt idx="10">
                  <c:v>2026-10-05</c:v>
                </c:pt>
                <c:pt idx="11">
                  <c:v>2026-10-12</c:v>
                </c:pt>
                <c:pt idx="12">
                  <c:v>2026-10-19</c:v>
                </c:pt>
              </c:strCache>
            </c:strRef>
          </c:cat>
          <c:val>
            <c:numRef>
              <c:f>'Weekly Trend'!$B$4:$B$16</c:f>
              <c:numCache>
                <c:formatCode>General</c:formatCode>
                <c:ptCount val="13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1</c:v>
                </c:pt>
                <c:pt idx="8">
                  <c:v>4</c:v>
                </c:pt>
                <c:pt idx="9">
                  <c:v>6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'Weekly Trend'!C3</c:f>
              <c:strCache>
                <c:ptCount val="1"/>
                <c:pt idx="0">
                  <c:v>Polina bids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Trend'!$A$4:$A$16</c:f>
              <c:strCache>
                <c:ptCount val="13"/>
                <c:pt idx="0">
                  <c:v>2026-07-27</c:v>
                </c:pt>
                <c:pt idx="1">
                  <c:v>2026-08-03</c:v>
                </c:pt>
                <c:pt idx="2">
                  <c:v>2026-08-10</c:v>
                </c:pt>
                <c:pt idx="3">
                  <c:v>2026-08-17</c:v>
                </c:pt>
                <c:pt idx="4">
                  <c:v>2026-08-24</c:v>
                </c:pt>
                <c:pt idx="5">
                  <c:v>2026-08-31</c:v>
                </c:pt>
                <c:pt idx="6">
                  <c:v>2026-09-07</c:v>
                </c:pt>
                <c:pt idx="7">
                  <c:v>2026-09-14</c:v>
                </c:pt>
                <c:pt idx="8">
                  <c:v>2026-09-21</c:v>
                </c:pt>
                <c:pt idx="9">
                  <c:v>2026-09-28</c:v>
                </c:pt>
                <c:pt idx="10">
                  <c:v>2026-10-05</c:v>
                </c:pt>
                <c:pt idx="11">
                  <c:v>2026-10-12</c:v>
                </c:pt>
                <c:pt idx="12">
                  <c:v>2026-10-19</c:v>
                </c:pt>
              </c:strCache>
            </c:strRef>
          </c:cat>
          <c:val>
            <c:numRef>
              <c:f>'Weekly Trend'!$C$4:$C$16</c:f>
              <c:numCache>
                <c:formatCode>General</c:formatCode>
                <c:ptCount val="13"/>
                <c:pt idx="0">
                  <c:v>3</c:v>
                </c:pt>
                <c:pt idx="1">
                  <c:v>4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12</c:v>
                </c:pt>
                <c:pt idx="7">
                  <c:v>9</c:v>
                </c:pt>
                <c:pt idx="8">
                  <c:v>8</c:v>
                </c:pt>
                <c:pt idx="9">
                  <c:v>7</c:v>
                </c:pt>
                <c:pt idx="10">
                  <c:v>15</c:v>
                </c:pt>
                <c:pt idx="11">
                  <c:v>9</c:v>
                </c:pt>
                <c:pt idx="12">
                  <c:v>3</c:v>
                </c:pt>
              </c:numCache>
            </c:numRef>
          </c:val>
        </c:ser>
        <c:ser>
          <c:idx val="2"/>
          <c:order val="2"/>
          <c:tx>
            <c:strRef>
              <c:f>'Weekly Trend'!D3</c:f>
              <c:strCache>
                <c:ptCount val="1"/>
                <c:pt idx="0">
                  <c:v>Shevk bids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Trend'!$A$4:$A$16</c:f>
              <c:strCache>
                <c:ptCount val="13"/>
                <c:pt idx="0">
                  <c:v>2026-07-27</c:v>
                </c:pt>
                <c:pt idx="1">
                  <c:v>2026-08-03</c:v>
                </c:pt>
                <c:pt idx="2">
                  <c:v>2026-08-10</c:v>
                </c:pt>
                <c:pt idx="3">
                  <c:v>2026-08-17</c:v>
                </c:pt>
                <c:pt idx="4">
                  <c:v>2026-08-24</c:v>
                </c:pt>
                <c:pt idx="5">
                  <c:v>2026-08-31</c:v>
                </c:pt>
                <c:pt idx="6">
                  <c:v>2026-09-07</c:v>
                </c:pt>
                <c:pt idx="7">
                  <c:v>2026-09-14</c:v>
                </c:pt>
                <c:pt idx="8">
                  <c:v>2026-09-21</c:v>
                </c:pt>
                <c:pt idx="9">
                  <c:v>2026-09-28</c:v>
                </c:pt>
                <c:pt idx="10">
                  <c:v>2026-10-05</c:v>
                </c:pt>
                <c:pt idx="11">
                  <c:v>2026-10-12</c:v>
                </c:pt>
                <c:pt idx="12">
                  <c:v>2026-10-19</c:v>
                </c:pt>
              </c:strCache>
            </c:strRef>
          </c:cat>
          <c:val>
            <c:numRef>
              <c:f>'Weekly Trend'!$D$4:$D$16</c:f>
              <c:numCache>
                <c:formatCode>General</c:formatCode>
                <c:ptCount val="13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8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'Weekly Trend'!E3</c:f>
              <c:strCache>
                <c:ptCount val="1"/>
                <c:pt idx="0">
                  <c:v>Yulia bids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Trend'!$A$4:$A$16</c:f>
              <c:strCache>
                <c:ptCount val="13"/>
                <c:pt idx="0">
                  <c:v>2026-07-27</c:v>
                </c:pt>
                <c:pt idx="1">
                  <c:v>2026-08-03</c:v>
                </c:pt>
                <c:pt idx="2">
                  <c:v>2026-08-10</c:v>
                </c:pt>
                <c:pt idx="3">
                  <c:v>2026-08-17</c:v>
                </c:pt>
                <c:pt idx="4">
                  <c:v>2026-08-24</c:v>
                </c:pt>
                <c:pt idx="5">
                  <c:v>2026-08-31</c:v>
                </c:pt>
                <c:pt idx="6">
                  <c:v>2026-09-07</c:v>
                </c:pt>
                <c:pt idx="7">
                  <c:v>2026-09-14</c:v>
                </c:pt>
                <c:pt idx="8">
                  <c:v>2026-09-21</c:v>
                </c:pt>
                <c:pt idx="9">
                  <c:v>2026-09-28</c:v>
                </c:pt>
                <c:pt idx="10">
                  <c:v>2026-10-05</c:v>
                </c:pt>
                <c:pt idx="11">
                  <c:v>2026-10-12</c:v>
                </c:pt>
                <c:pt idx="12">
                  <c:v>2026-10-19</c:v>
                </c:pt>
              </c:strCache>
            </c:strRef>
          </c:cat>
          <c:val>
            <c:numRef>
              <c:f>'Weekly Trend'!$E$4:$E$16</c:f>
              <c:numCache>
                <c:formatCode>General</c:formatCode>
                <c:ptCount val="13"/>
                <c:pt idx="0">
                  <c:v>5</c:v>
                </c:pt>
                <c:pt idx="1">
                  <c:v>24</c:v>
                </c:pt>
                <c:pt idx="2">
                  <c:v>25</c:v>
                </c:pt>
                <c:pt idx="3">
                  <c:v>21</c:v>
                </c:pt>
                <c:pt idx="4">
                  <c:v>24</c:v>
                </c:pt>
                <c:pt idx="5">
                  <c:v>25</c:v>
                </c:pt>
                <c:pt idx="6">
                  <c:v>23</c:v>
                </c:pt>
                <c:pt idx="7">
                  <c:v>30</c:v>
                </c:pt>
                <c:pt idx="8">
                  <c:v>21</c:v>
                </c:pt>
                <c:pt idx="9">
                  <c:v>33</c:v>
                </c:pt>
                <c:pt idx="10">
                  <c:v>26</c:v>
                </c:pt>
                <c:pt idx="11">
                  <c:v>25</c:v>
                </c:pt>
                <c:pt idx="12">
                  <c:v>6</c:v>
                </c:pt>
              </c:numCache>
            </c:numRef>
          </c:val>
        </c:ser>
        <c:gapWidth val="150"/>
        <c:overlap val="100"/>
        <c:axId val="16136535"/>
        <c:axId val="81864002"/>
      </c:barChart>
      <c:lineChart>
        <c:grouping val="stacked"/>
        <c:varyColors val="0"/>
        <c:ser>
          <c:idx val="4"/>
          <c:order val="4"/>
          <c:tx>
            <c:strRef>
              <c:f>'Weekly Trend'!J3</c:f>
              <c:strCache>
                <c:ptCount val="1"/>
                <c:pt idx="0">
                  <c:v>Rolling 4-wk Bid → Interview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'Weekly Trend'!$A$4:$A$16</c:f>
              <c:strCache>
                <c:ptCount val="13"/>
                <c:pt idx="0">
                  <c:v>2026-07-27</c:v>
                </c:pt>
                <c:pt idx="1">
                  <c:v>2026-08-03</c:v>
                </c:pt>
                <c:pt idx="2">
                  <c:v>2026-08-10</c:v>
                </c:pt>
                <c:pt idx="3">
                  <c:v>2026-08-17</c:v>
                </c:pt>
                <c:pt idx="4">
                  <c:v>2026-08-24</c:v>
                </c:pt>
                <c:pt idx="5">
                  <c:v>2026-08-31</c:v>
                </c:pt>
                <c:pt idx="6">
                  <c:v>2026-09-07</c:v>
                </c:pt>
                <c:pt idx="7">
                  <c:v>2026-09-14</c:v>
                </c:pt>
                <c:pt idx="8">
                  <c:v>2026-09-21</c:v>
                </c:pt>
                <c:pt idx="9">
                  <c:v>2026-09-28</c:v>
                </c:pt>
                <c:pt idx="10">
                  <c:v>2026-10-05</c:v>
                </c:pt>
                <c:pt idx="11">
                  <c:v>2026-10-12</c:v>
                </c:pt>
                <c:pt idx="12">
                  <c:v>2026-10-19</c:v>
                </c:pt>
              </c:strCache>
            </c:strRef>
          </c:cat>
          <c:val>
            <c:numRef>
              <c:f>'Weekly Trend'!$J$4:$J$16</c:f>
              <c:numCache>
                <c:formatCode>0.0%;\-0.0%;\-</c:formatCode>
                <c:ptCount val="13"/>
                <c:pt idx="3">
                  <c:v>0.0725806451612903</c:v>
                </c:pt>
                <c:pt idx="4">
                  <c:v>0.0529801324503311</c:v>
                </c:pt>
                <c:pt idx="5">
                  <c:v>0.0454545454545455</c:v>
                </c:pt>
                <c:pt idx="6">
                  <c:v>0.0454545454545455</c:v>
                </c:pt>
                <c:pt idx="7">
                  <c:v>0.0304878048780488</c:v>
                </c:pt>
                <c:pt idx="8">
                  <c:v>0.0421686746987952</c:v>
                </c:pt>
                <c:pt idx="9">
                  <c:v>0.0561797752808989</c:v>
                </c:pt>
                <c:pt idx="10">
                  <c:v>0.0486486486486487</c:v>
                </c:pt>
                <c:pt idx="11">
                  <c:v>0.0491803278688525</c:v>
                </c:pt>
                <c:pt idx="12">
                  <c:v>0.0526315789473684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745148"/>
        <c:axId val="12190016"/>
      </c:lineChart>
      <c:catAx>
        <c:axId val="16136535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64002"/>
        <c:crosses val="autoZero"/>
        <c:auto val="1"/>
        <c:lblAlgn val="ctr"/>
        <c:lblOffset val="100"/>
        <c:noMultiLvlLbl val="0"/>
      </c:catAx>
      <c:valAx>
        <c:axId val="81864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36535"/>
        <c:crosses val="autoZero"/>
        <c:crossBetween val="between"/>
      </c:valAx>
      <c:catAx>
        <c:axId val="24745148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190016"/>
        <c:crosses val="autoZero"/>
        <c:auto val="1"/>
        <c:lblAlgn val="ctr"/>
        <c:lblOffset val="100"/>
        <c:noMultiLvlLbl val="0"/>
      </c:catAx>
      <c:valAx>
        <c:axId val="1219001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Rolling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45148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160920</xdr:rowOff>
    </xdr:from>
    <xdr:to>
      <xdr:col>22</xdr:col>
      <xdr:colOff>364680</xdr:colOff>
      <xdr:row>15</xdr:row>
      <xdr:rowOff>174600</xdr:rowOff>
    </xdr:to>
    <xdr:graphicFrame>
      <xdr:nvGraphicFramePr>
        <xdr:cNvPr id="0" name="Chart 1"/>
        <xdr:cNvGraphicFramePr/>
      </xdr:nvGraphicFramePr>
      <xdr:xfrm>
        <a:off x="9563040" y="57168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18</xdr:row>
      <xdr:rowOff>160560</xdr:rowOff>
    </xdr:from>
    <xdr:to>
      <xdr:col>22</xdr:col>
      <xdr:colOff>364680</xdr:colOff>
      <xdr:row>33</xdr:row>
      <xdr:rowOff>2880</xdr:rowOff>
    </xdr:to>
    <xdr:graphicFrame>
      <xdr:nvGraphicFramePr>
        <xdr:cNvPr id="1" name="Chart 2"/>
        <xdr:cNvGraphicFramePr/>
      </xdr:nvGraphicFramePr>
      <xdr:xfrm>
        <a:off x="9563040" y="382896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160560</xdr:rowOff>
    </xdr:from>
    <xdr:to>
      <xdr:col>6</xdr:col>
      <xdr:colOff>528480</xdr:colOff>
      <xdr:row>32</xdr:row>
      <xdr:rowOff>2880</xdr:rowOff>
    </xdr:to>
    <xdr:graphicFrame>
      <xdr:nvGraphicFramePr>
        <xdr:cNvPr id="2" name="Chart 1"/>
        <xdr:cNvGraphicFramePr/>
      </xdr:nvGraphicFramePr>
      <xdr:xfrm>
        <a:off x="0" y="363852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160560</xdr:rowOff>
    </xdr:from>
    <xdr:to>
      <xdr:col>13</xdr:col>
      <xdr:colOff>473040</xdr:colOff>
      <xdr:row>32</xdr:row>
      <xdr:rowOff>2880</xdr:rowOff>
    </xdr:to>
    <xdr:graphicFrame>
      <xdr:nvGraphicFramePr>
        <xdr:cNvPr id="3" name="Chart 2"/>
        <xdr:cNvGraphicFramePr/>
      </xdr:nvGraphicFramePr>
      <xdr:xfrm>
        <a:off x="5286240" y="36385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160920</xdr:rowOff>
    </xdr:from>
    <xdr:to>
      <xdr:col>11</xdr:col>
      <xdr:colOff>252000</xdr:colOff>
      <xdr:row>37</xdr:row>
      <xdr:rowOff>162000</xdr:rowOff>
    </xdr:to>
    <xdr:graphicFrame>
      <xdr:nvGraphicFramePr>
        <xdr:cNvPr id="4" name="Chart 1"/>
        <xdr:cNvGraphicFramePr/>
      </xdr:nvGraphicFramePr>
      <xdr:xfrm>
        <a:off x="0" y="42102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app.notion.com/p/3aebd8b60a6380ffae17f7a8640b3a9f" TargetMode="External"/><Relationship Id="rId3" Type="http://schemas.openxmlformats.org/officeDocument/2006/relationships/hyperlink" Target="https://app.notion.com/p/3babd8b60a6381d7a9fadb59a24e4ab4" TargetMode="External"/><Relationship Id="rId4" Type="http://schemas.openxmlformats.org/officeDocument/2006/relationships/hyperlink" Target="https://app.notion.com/p/3b1bd8b60a6380fe8972fba06776352c" TargetMode="External"/><Relationship Id="rId5" Type="http://schemas.openxmlformats.org/officeDocument/2006/relationships/hyperlink" Target="https://app.notion.com/p/3b1bd8b60a6381d5b12bef45d16ee5c7" TargetMode="External"/><Relationship Id="rId6" Type="http://schemas.openxmlformats.org/officeDocument/2006/relationships/hyperlink" Target="https://app.notion.com/p/3b6bd8b60a6380c3a9d4cd6fc4e0d4ba" TargetMode="External"/><Relationship Id="rId7" Type="http://schemas.openxmlformats.org/officeDocument/2006/relationships/hyperlink" Target="https://app.notion.com/p/3b8bd8b60a6381939f0cd23fb0bc08cf" TargetMode="External"/><Relationship Id="rId8" Type="http://schemas.openxmlformats.org/officeDocument/2006/relationships/hyperlink" Target="https://app.notion.com/p/3b6bd8b60a6380b58dffcf1fb2048c16" TargetMode="External"/><Relationship Id="rId9" Type="http://schemas.openxmlformats.org/officeDocument/2006/relationships/hyperlink" Target="https://app.notion.com/p/3babd8b60a638162859ceafb39eec6ef" TargetMode="External"/><Relationship Id="rId10" Type="http://schemas.openxmlformats.org/officeDocument/2006/relationships/hyperlink" Target="https://app.notion.com/p/3bcbd8b60a638036999afddb9f2997df" TargetMode="External"/><Relationship Id="rId11" Type="http://schemas.openxmlformats.org/officeDocument/2006/relationships/hyperlink" Target="https://app.notion.com/p/3bcbd8b60a63815abc31ccd14e852a23" TargetMode="External"/><Relationship Id="rId12" Type="http://schemas.openxmlformats.org/officeDocument/2006/relationships/hyperlink" Target="https://app.notion.com/p/3bfbd8b60a638059bc48fcfbfe32712d" TargetMode="External"/><Relationship Id="rId13" Type="http://schemas.openxmlformats.org/officeDocument/2006/relationships/hyperlink" Target="https://app.notion.com/p/3bfbd8b60a638121bb3ef3c819d9a781" TargetMode="External"/><Relationship Id="rId14" Type="http://schemas.openxmlformats.org/officeDocument/2006/relationships/hyperlink" Target="https://app.notion.com/p/3f4bd8b60a6380979690d118872c5fe7" TargetMode="External"/><Relationship Id="rId15" Type="http://schemas.openxmlformats.org/officeDocument/2006/relationships/hyperlink" Target="https://app.notion.com/p/3f4bd8b60a6381d99b8ce80422adedf3" TargetMode="External"/><Relationship Id="rId16" Type="http://schemas.openxmlformats.org/officeDocument/2006/relationships/hyperlink" Target="https://app.notion.com/p/3c1bd8b60a6380e68ff5e16d9dc90a05" TargetMode="External"/><Relationship Id="rId17" Type="http://schemas.openxmlformats.org/officeDocument/2006/relationships/hyperlink" Target="https://app.notion.com/p/3c3bd8b60a6381c485e8f231672ce4c5" TargetMode="External"/><Relationship Id="rId18" Type="http://schemas.openxmlformats.org/officeDocument/2006/relationships/hyperlink" Target="https://app.notion.com/p/3c5bd8b60a6380f9beffec7f6ebf7bcc" TargetMode="External"/><Relationship Id="rId19" Type="http://schemas.openxmlformats.org/officeDocument/2006/relationships/hyperlink" Target="https://app.notion.com/p/3c9bd8b60a6381bcb17ee7bea7f0dbd1" TargetMode="External"/><Relationship Id="rId20" Type="http://schemas.openxmlformats.org/officeDocument/2006/relationships/hyperlink" Target="https://app.notion.com/p/3d1bd8b60a6380f8b80af7ded3b1d693" TargetMode="External"/><Relationship Id="rId21" Type="http://schemas.openxmlformats.org/officeDocument/2006/relationships/hyperlink" Target="https://app.notion.com/p/3d3bd8b60a63812c9b83c241d0759778" TargetMode="External"/><Relationship Id="rId22" Type="http://schemas.openxmlformats.org/officeDocument/2006/relationships/hyperlink" Target="https://app.notion.com/p/3d2bd8b60a6380239fbbf2e5caf3535b" TargetMode="External"/><Relationship Id="rId23" Type="http://schemas.openxmlformats.org/officeDocument/2006/relationships/hyperlink" Target="https://app.notion.com/p/3d3bd8b60a6381b88a86eeb3ed090c66" TargetMode="External"/><Relationship Id="rId24" Type="http://schemas.openxmlformats.org/officeDocument/2006/relationships/hyperlink" Target="https://app.notion.com/p/3d7bd8b60a6380d09a13c7ea99f5c73d" TargetMode="External"/><Relationship Id="rId25" Type="http://schemas.openxmlformats.org/officeDocument/2006/relationships/hyperlink" Target="https://app.notion.com/p/3ddbd8b60a638178b0c7e3683708efe0" TargetMode="External"/><Relationship Id="rId26" Type="http://schemas.openxmlformats.org/officeDocument/2006/relationships/hyperlink" Target="https://app.notion.com/p/3dcbd8b60a6380e2b52cf7954feedfe4" TargetMode="External"/><Relationship Id="rId27" Type="http://schemas.openxmlformats.org/officeDocument/2006/relationships/hyperlink" Target="https://app.notion.com/p/3ddbd8b60a6381baa7b1f0a2af8af605" TargetMode="External"/><Relationship Id="rId28" Type="http://schemas.openxmlformats.org/officeDocument/2006/relationships/hyperlink" Target="https://app.notion.com/p/3ddbd8b60a6380b3ac7afeb14ac92545" TargetMode="External"/><Relationship Id="rId29" Type="http://schemas.openxmlformats.org/officeDocument/2006/relationships/hyperlink" Target="https://app.notion.com/p/3dfbd8b60a638185ab0cec5a8d146a51" TargetMode="External"/><Relationship Id="rId30" Type="http://schemas.openxmlformats.org/officeDocument/2006/relationships/hyperlink" Target="https://app.notion.com/p/3e2bd8b60a6380dd8ae2d1f13da0c938" TargetMode="External"/><Relationship Id="rId31" Type="http://schemas.openxmlformats.org/officeDocument/2006/relationships/hyperlink" Target="https://app.notion.com/p/3e2bd8b60a63819d908fe4dfdd23e43a" TargetMode="External"/><Relationship Id="rId32" Type="http://schemas.openxmlformats.org/officeDocument/2006/relationships/hyperlink" Target="https://app.notion.com/p/3e6bd8b60a63805f9b19cbdf75e9db07" TargetMode="External"/><Relationship Id="rId33" Type="http://schemas.openxmlformats.org/officeDocument/2006/relationships/hyperlink" Target="https://app.notion.com/p/3edbd8b60a6381beaaefdda254fc9bdd" TargetMode="External"/><Relationship Id="rId34" Type="http://schemas.openxmlformats.org/officeDocument/2006/relationships/hyperlink" Target="https://app.notion.com/p/3ebbd8b60a63806baf49fc5adfddb1f7" TargetMode="External"/><Relationship Id="rId35" Type="http://schemas.openxmlformats.org/officeDocument/2006/relationships/hyperlink" Target="https://app.notion.com/p/3ebbd8b60a6381d8b49ae30dfc77e68f" TargetMode="External"/><Relationship Id="rId36" Type="http://schemas.openxmlformats.org/officeDocument/2006/relationships/hyperlink" Target="https://app.notion.com/p/3ebbd8b60a63809a96abd3aef15d0a3a" TargetMode="External"/><Relationship Id="rId37" Type="http://schemas.openxmlformats.org/officeDocument/2006/relationships/hyperlink" Target="https://app.notion.com/p/3edbd8b60a638155a8bbc9626f125089" TargetMode="External"/><Relationship Id="rId38" Type="http://schemas.openxmlformats.org/officeDocument/2006/relationships/hyperlink" Target="https://app.notion.com/p/3edbd8b60a6380be9060ed914eb29833" TargetMode="External"/><Relationship Id="rId39" Type="http://schemas.openxmlformats.org/officeDocument/2006/relationships/hyperlink" Target="https://app.notion.com/p/3edbd8b60a63819291d2cda5658a5b85" TargetMode="External"/><Relationship Id="rId40" Type="http://schemas.openxmlformats.org/officeDocument/2006/relationships/hyperlink" Target="https://app.notion.com/p/3efbd8b60a638082810dc2c800331cd9" TargetMode="External"/><Relationship Id="rId41" Type="http://schemas.openxmlformats.org/officeDocument/2006/relationships/hyperlink" Target="https://app.notion.com/p/3f1bd8b60a638190b44fd0aa570788e3" TargetMode="External"/><Relationship Id="rId42" Type="http://schemas.openxmlformats.org/officeDocument/2006/relationships/hyperlink" Target="https://app.notion.com/p/3efbd8b60a6380c89a41ed9957e880d0" TargetMode="External"/><Relationship Id="rId43" Type="http://schemas.openxmlformats.org/officeDocument/2006/relationships/hyperlink" Target="https://app.notion.com/p/3efbd8b60a638180a8fdceec5de0cf41" TargetMode="External"/><Relationship Id="rId44" Type="http://schemas.openxmlformats.org/officeDocument/2006/relationships/hyperlink" Target="https://app.notion.com/p/3f7bd8b60a638005ac71ff3702d1cc69" TargetMode="External"/><Relationship Id="rId45" Type="http://schemas.openxmlformats.org/officeDocument/2006/relationships/hyperlink" Target="https://app.notion.com/p/3f7bd8b60a6381a98a0beffc50495ba7" TargetMode="External"/><Relationship Id="rId46" Type="http://schemas.openxmlformats.org/officeDocument/2006/relationships/hyperlink" Target="https://app.notion.com/p/3fbbd8b60a6380cfa966da65cf868718" TargetMode="External"/><Relationship Id="rId47" Type="http://schemas.openxmlformats.org/officeDocument/2006/relationships/hyperlink" Target="https://app.notion.com/p/3fcbd8b60a63818fb584f73da73ebad6" TargetMode="External"/><Relationship Id="rId48" Type="http://schemas.openxmlformats.org/officeDocument/2006/relationships/hyperlink" Target="https://app.notion.com/p/3febd8b60a63802fa6f7e12a6dba6554" TargetMode="External"/><Relationship Id="rId49" Type="http://schemas.openxmlformats.org/officeDocument/2006/relationships/hyperlink" Target="https://app.notion.com/p/3febd8b60a6381deb4bef9ab2288aa08" TargetMode="External"/><Relationship Id="rId50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s">
        <v>7</v>
      </c>
      <c r="B5" s="6" t="n">
        <f aca="false">'Monthly Trend'!C17</f>
        <v>481</v>
      </c>
      <c r="C5" s="6" t="n">
        <f aca="false">'Monthly Trend'!C16</f>
        <v>2102</v>
      </c>
      <c r="D5" s="7" t="n">
        <f aca="false">IFERROR((B5/'Monthly Trend'!I17)/(C5/'Monthly Trend'!I16)-1,0)</f>
        <v>-0.401087735372544</v>
      </c>
      <c r="E5" s="8" t="s">
        <v>8</v>
      </c>
    </row>
    <row r="6" customFormat="false" ht="15" hidden="false" customHeight="false" outlineLevel="0" collapsed="false">
      <c r="A6" s="5" t="s">
        <v>9</v>
      </c>
      <c r="B6" s="9" t="n">
        <f aca="false">'Monthly Trend'!J17</f>
        <v>5.93827160493827</v>
      </c>
      <c r="C6" s="9" t="n">
        <f aca="false">'Monthly Trend'!J16</f>
        <v>9.91509433962264</v>
      </c>
      <c r="D6" s="10" t="n">
        <f aca="false">B6-C6</f>
        <v>-3.97682273468437</v>
      </c>
      <c r="E6" s="8"/>
    </row>
    <row r="7" customFormat="false" ht="15" hidden="false" customHeight="false" outlineLevel="0" collapsed="false">
      <c r="A7" s="5" t="s">
        <v>10</v>
      </c>
      <c r="B7" s="6" t="n">
        <f aca="false">'Monthly Trend'!D17</f>
        <v>24</v>
      </c>
      <c r="C7" s="6" t="n">
        <f aca="false">'Monthly Trend'!D16</f>
        <v>158</v>
      </c>
      <c r="D7" s="7" t="n">
        <f aca="false">IFERROR((B7/'Monthly Trend'!I17)/(C7/'Monthly Trend'!I16)-1,0)</f>
        <v>-0.602437880918894</v>
      </c>
      <c r="E7" s="8"/>
    </row>
    <row r="8" customFormat="false" ht="26.85" hidden="false" customHeight="false" outlineLevel="0" collapsed="false">
      <c r="A8" s="5" t="s">
        <v>11</v>
      </c>
      <c r="B8" s="6" t="n">
        <f aca="false">'Monthly Trend'!E17</f>
        <v>1</v>
      </c>
      <c r="C8" s="6" t="n">
        <f aca="false">'Monthly Trend'!E16</f>
        <v>25</v>
      </c>
      <c r="D8" s="7" t="n">
        <f aca="false">IFERROR((B8/'Monthly Trend'!I17)/(C8/'Monthly Trend'!I16)-1,0)</f>
        <v>-0.895308641975309</v>
      </c>
      <c r="E8" s="8" t="s">
        <v>12</v>
      </c>
    </row>
    <row r="9" customFormat="false" ht="26.85" hidden="false" customHeight="false" outlineLevel="0" collapsed="false">
      <c r="A9" s="5" t="s">
        <v>13</v>
      </c>
      <c r="B9" s="11" t="n">
        <f aca="false">'Monthly Trend'!F17</f>
        <v>0.0498960498960499</v>
      </c>
      <c r="C9" s="11" t="n">
        <f aca="false">'Monthly Trend'!F16</f>
        <v>0.0751665080875357</v>
      </c>
      <c r="D9" s="12" t="n">
        <f aca="false">B9-C9</f>
        <v>-0.0252704581914858</v>
      </c>
      <c r="E9" s="8" t="s">
        <v>14</v>
      </c>
    </row>
    <row r="10" customFormat="false" ht="26.85" hidden="false" customHeight="false" outlineLevel="0" collapsed="false">
      <c r="A10" s="5" t="s">
        <v>15</v>
      </c>
      <c r="B10" s="11" t="n">
        <f aca="false">'Monthly Trend'!G17</f>
        <v>0.00207900207900208</v>
      </c>
      <c r="C10" s="11" t="n">
        <f aca="false">'Monthly Trend'!G16</f>
        <v>0.0118934348239772</v>
      </c>
      <c r="D10" s="12" t="n">
        <f aca="false">B10-C10</f>
        <v>-0.00981443274497509</v>
      </c>
      <c r="E10" s="8" t="s">
        <v>16</v>
      </c>
    </row>
    <row r="11" customFormat="false" ht="26.85" hidden="false" customHeight="false" outlineLevel="0" collapsed="false">
      <c r="A11" s="5" t="s">
        <v>17</v>
      </c>
      <c r="B11" s="11" t="n">
        <f aca="false">'Monthly Trend'!H17</f>
        <v>0.0416666666666667</v>
      </c>
      <c r="C11" s="11" t="n">
        <f aca="false">'Monthly Trend'!H16</f>
        <v>0.158227848101266</v>
      </c>
      <c r="D11" s="12" t="n">
        <f aca="false">B11-C11</f>
        <v>-0.116561181434599</v>
      </c>
      <c r="E11" s="8" t="s">
        <v>18</v>
      </c>
    </row>
    <row r="12" customFormat="false" ht="15" hidden="false" customHeight="false" outlineLevel="0" collapsed="false">
      <c r="A12" s="5" t="s">
        <v>19</v>
      </c>
      <c r="B12" s="11" t="n">
        <f aca="false">'By Profile'!K9</f>
        <v>0.0399159663865546</v>
      </c>
      <c r="C12" s="11"/>
      <c r="D12" s="2"/>
      <c r="E12" s="8" t="s">
        <v>20</v>
      </c>
    </row>
    <row r="13" customFormat="false" ht="15" hidden="false" customHeight="false" outlineLevel="0" collapsed="false">
      <c r="A13" s="5" t="s">
        <v>21</v>
      </c>
      <c r="B13" s="9" t="n">
        <f aca="false">Interviews!J26</f>
        <v>4.25</v>
      </c>
      <c r="C13" s="9"/>
      <c r="D13" s="2"/>
      <c r="E13" s="8"/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5" hidden="false" customHeight="false" outlineLevel="0" collapsed="false">
      <c r="A15" s="13" t="s">
        <v>22</v>
      </c>
      <c r="B15" s="2"/>
      <c r="C15" s="2"/>
      <c r="D15" s="2"/>
      <c r="E15" s="2"/>
    </row>
    <row r="16" customFormat="false" ht="31.5" hidden="false" customHeight="true" outlineLevel="0" collapsed="false">
      <c r="A16" s="4" t="s">
        <v>23</v>
      </c>
      <c r="B16" s="4" t="s">
        <v>24</v>
      </c>
      <c r="C16" s="4" t="s">
        <v>13</v>
      </c>
      <c r="D16" s="4" t="s">
        <v>25</v>
      </c>
      <c r="E16" s="4" t="s">
        <v>11</v>
      </c>
    </row>
    <row r="17" customFormat="false" ht="15" hidden="false" customHeight="false" outlineLevel="0" collapsed="false">
      <c r="A17" s="2" t="str">
        <f aca="false">'By Profile'!A5</f>
        <v>Yulia</v>
      </c>
      <c r="B17" s="2" t="n">
        <f aca="false">'By Profile'!B5</f>
        <v>288</v>
      </c>
      <c r="C17" s="11" t="n">
        <f aca="false">'By Profile'!F5</f>
        <v>0.0659722222222222</v>
      </c>
      <c r="D17" s="11" t="n">
        <f aca="false">'By Profile'!K5</f>
        <v>0.056140350877193</v>
      </c>
      <c r="E17" s="2" t="n">
        <f aca="false">'By Profile'!E5</f>
        <v>0</v>
      </c>
    </row>
    <row r="18" customFormat="false" ht="15" hidden="false" customHeight="false" outlineLevel="0" collapsed="false">
      <c r="A18" s="2" t="str">
        <f aca="false">'By Profile'!A6</f>
        <v>Polina</v>
      </c>
      <c r="B18" s="2" t="n">
        <f aca="false">'By Profile'!B6</f>
        <v>104</v>
      </c>
      <c r="C18" s="11" t="n">
        <f aca="false">'By Profile'!F6</f>
        <v>0.0288461538461538</v>
      </c>
      <c r="D18" s="11" t="n">
        <f aca="false">'By Profile'!K6</f>
        <v>0.0194174757281553</v>
      </c>
      <c r="E18" s="2" t="n">
        <f aca="false">'By Profile'!E6</f>
        <v>1</v>
      </c>
    </row>
    <row r="19" customFormat="false" ht="15" hidden="false" customHeight="false" outlineLevel="0" collapsed="false">
      <c r="A19" s="2" t="str">
        <f aca="false">'By Profile'!A7</f>
        <v>Shevk</v>
      </c>
      <c r="B19" s="2" t="n">
        <f aca="false">'By Profile'!B7</f>
        <v>48</v>
      </c>
      <c r="C19" s="11" t="n">
        <f aca="false">'By Profile'!F7</f>
        <v>0.0208333333333333</v>
      </c>
      <c r="D19" s="11" t="n">
        <f aca="false">'By Profile'!K7</f>
        <v>0</v>
      </c>
      <c r="E19" s="2" t="n">
        <f aca="false">'By Profile'!E7</f>
        <v>0</v>
      </c>
    </row>
    <row r="20" customFormat="false" ht="15" hidden="false" customHeight="false" outlineLevel="0" collapsed="false">
      <c r="A20" s="2" t="str">
        <f aca="false">'By Profile'!A8</f>
        <v>Andrew</v>
      </c>
      <c r="B20" s="2" t="n">
        <f aca="false">'By Profile'!B8</f>
        <v>41</v>
      </c>
      <c r="C20" s="11" t="n">
        <f aca="false">'By Profile'!F8</f>
        <v>0.024390243902439</v>
      </c>
      <c r="D20" s="11" t="n">
        <f aca="false">'By Profile'!K8</f>
        <v>0.024390243902439</v>
      </c>
      <c r="E20" s="2" t="n">
        <f aca="false">'By Profile'!E8</f>
        <v>0</v>
      </c>
    </row>
    <row r="21" customFormat="false" ht="15" hidden="false" customHeight="false" outlineLevel="0" collapsed="false">
      <c r="A21" s="2"/>
      <c r="B21" s="2"/>
      <c r="C21" s="2"/>
      <c r="D21" s="2"/>
      <c r="E21" s="2"/>
    </row>
    <row r="22" customFormat="false" ht="15" hidden="false" customHeight="false" outlineLevel="0" collapsed="false">
      <c r="A22" s="5" t="s">
        <v>26</v>
      </c>
      <c r="B22" s="2" t="str">
        <f aca="false">'By Profile'!B14</f>
        <v>Yulia</v>
      </c>
      <c r="C22" s="2" t="n">
        <f aca="false">'By Profile'!C14</f>
        <v>288</v>
      </c>
      <c r="D22" s="2"/>
      <c r="E22" s="2"/>
    </row>
    <row r="23" customFormat="false" ht="15" hidden="false" customHeight="false" outlineLevel="0" collapsed="false">
      <c r="A23" s="5" t="s">
        <v>27</v>
      </c>
      <c r="B23" s="2" t="str">
        <f aca="false">'By Profile'!B15</f>
        <v>Yulia</v>
      </c>
      <c r="C23" s="11" t="n">
        <f aca="false">'By Profile'!C15</f>
        <v>0.056140350877193</v>
      </c>
      <c r="D23" s="2"/>
      <c r="E23" s="2"/>
    </row>
    <row r="24" customFormat="false" ht="15" hidden="false" customHeight="false" outlineLevel="0" collapsed="false">
      <c r="A24" s="2"/>
      <c r="B24" s="2"/>
      <c r="C24" s="2"/>
      <c r="D24" s="2"/>
      <c r="E24" s="2"/>
    </row>
    <row r="25" customFormat="false" ht="15" hidden="false" customHeight="false" outlineLevel="0" collapsed="false">
      <c r="A25" s="13" t="s">
        <v>28</v>
      </c>
      <c r="B25" s="2"/>
      <c r="C25" s="2"/>
      <c r="D25" s="2"/>
      <c r="E25" s="2"/>
    </row>
    <row r="26" customFormat="false" ht="33.75" hidden="false" customHeight="true" outlineLevel="0" collapsed="false">
      <c r="A26" s="14" t="s">
        <v>29</v>
      </c>
      <c r="B26" s="14"/>
      <c r="C26" s="14"/>
      <c r="D26" s="14"/>
      <c r="E26" s="14"/>
    </row>
    <row r="27" customFormat="false" ht="33.75" hidden="false" customHeight="true" outlineLevel="0" collapsed="false">
      <c r="A27" s="14" t="s">
        <v>30</v>
      </c>
      <c r="B27" s="14"/>
      <c r="C27" s="14"/>
      <c r="D27" s="14"/>
      <c r="E27" s="14"/>
    </row>
    <row r="28" customFormat="false" ht="33.75" hidden="false" customHeight="true" outlineLevel="0" collapsed="false">
      <c r="A28" s="14" t="s">
        <v>31</v>
      </c>
      <c r="B28" s="14"/>
      <c r="C28" s="14"/>
      <c r="D28" s="14"/>
      <c r="E28" s="14"/>
    </row>
    <row r="29" customFormat="false" ht="33.75" hidden="false" customHeight="true" outlineLevel="0" collapsed="false">
      <c r="A29" s="14" t="s">
        <v>32</v>
      </c>
      <c r="B29" s="14"/>
      <c r="C29" s="14"/>
      <c r="D29" s="14"/>
      <c r="E29" s="14"/>
    </row>
    <row r="30" customFormat="false" ht="33.75" hidden="false" customHeight="true" outlineLevel="0" collapsed="false">
      <c r="A30" s="14" t="s">
        <v>33</v>
      </c>
      <c r="B30" s="14"/>
      <c r="C30" s="14"/>
      <c r="D30" s="14"/>
      <c r="E30" s="14"/>
    </row>
    <row r="31" customFormat="false" ht="33.75" hidden="false" customHeight="true" outlineLevel="0" collapsed="false">
      <c r="A31" s="14" t="s">
        <v>34</v>
      </c>
      <c r="B31" s="14"/>
      <c r="C31" s="14"/>
      <c r="D31" s="14"/>
      <c r="E31" s="14"/>
    </row>
  </sheetData>
  <mergeCells count="6">
    <mergeCell ref="A26:E26"/>
    <mergeCell ref="A27:E27"/>
    <mergeCell ref="A28:E28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31.5" hidden="false" customHeight="tru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</row>
    <row r="2" customFormat="false" ht="15" hidden="false" customHeight="false" outlineLevel="0" collapsed="false">
      <c r="A2" s="15" t="n">
        <v>46235</v>
      </c>
      <c r="B2" s="16" t="s">
        <v>47</v>
      </c>
      <c r="C2" s="16" t="s">
        <v>48</v>
      </c>
      <c r="D2" s="16" t="s">
        <v>49</v>
      </c>
      <c r="E2" s="16" t="s">
        <v>50</v>
      </c>
      <c r="F2" s="16" t="s">
        <v>51</v>
      </c>
      <c r="G2" s="16"/>
      <c r="H2" s="15" t="n">
        <v>46247</v>
      </c>
      <c r="I2" s="17" t="n">
        <f aca="false">IF(OR(ISNUMBER(SEARCH("Won",F2)),G2="Won"),1,0)</f>
        <v>0</v>
      </c>
      <c r="J2" s="17" t="n">
        <f aca="false">H2-A2</f>
        <v>12</v>
      </c>
      <c r="K2" s="18" t="s">
        <v>52</v>
      </c>
      <c r="L2" s="18" t="s">
        <v>53</v>
      </c>
    </row>
    <row r="3" customFormat="false" ht="15" hidden="false" customHeight="false" outlineLevel="0" collapsed="false">
      <c r="A3" s="15" t="n">
        <v>46237</v>
      </c>
      <c r="B3" s="16" t="s">
        <v>47</v>
      </c>
      <c r="C3" s="16" t="s">
        <v>54</v>
      </c>
      <c r="D3" s="16" t="s">
        <v>55</v>
      </c>
      <c r="E3" s="16" t="s">
        <v>56</v>
      </c>
      <c r="F3" s="16" t="s">
        <v>51</v>
      </c>
      <c r="G3" s="16"/>
      <c r="H3" s="15" t="n">
        <v>46237</v>
      </c>
      <c r="I3" s="17" t="n">
        <f aca="false">IF(OR(ISNUMBER(SEARCH("Won",F3)),G3="Won"),1,0)</f>
        <v>0</v>
      </c>
      <c r="J3" s="17" t="n">
        <f aca="false">H3-A3</f>
        <v>0</v>
      </c>
      <c r="K3" s="18" t="s">
        <v>57</v>
      </c>
      <c r="L3" s="18" t="s">
        <v>58</v>
      </c>
    </row>
    <row r="4" customFormat="false" ht="15" hidden="false" customHeight="false" outlineLevel="0" collapsed="false">
      <c r="A4" s="15" t="n">
        <v>46242</v>
      </c>
      <c r="B4" s="16" t="s">
        <v>47</v>
      </c>
      <c r="C4" s="16" t="s">
        <v>48</v>
      </c>
      <c r="D4" s="16" t="s">
        <v>59</v>
      </c>
      <c r="E4" s="16" t="s">
        <v>60</v>
      </c>
      <c r="F4" s="16" t="s">
        <v>51</v>
      </c>
      <c r="G4" s="16"/>
      <c r="H4" s="15" t="n">
        <v>46244</v>
      </c>
      <c r="I4" s="17" t="n">
        <f aca="false">IF(OR(ISNUMBER(SEARCH("Won",F4)),G4="Won"),1,0)</f>
        <v>0</v>
      </c>
      <c r="J4" s="17" t="n">
        <f aca="false">H4-A4</f>
        <v>2</v>
      </c>
      <c r="K4" s="18" t="s">
        <v>61</v>
      </c>
      <c r="L4" s="18" t="s">
        <v>62</v>
      </c>
    </row>
    <row r="5" customFormat="false" ht="15" hidden="false" customHeight="false" outlineLevel="0" collapsed="false">
      <c r="A5" s="15" t="n">
        <v>46243</v>
      </c>
      <c r="B5" s="16" t="s">
        <v>47</v>
      </c>
      <c r="C5" s="16" t="s">
        <v>48</v>
      </c>
      <c r="D5" s="16" t="s">
        <v>63</v>
      </c>
      <c r="E5" s="16" t="s">
        <v>64</v>
      </c>
      <c r="F5" s="16" t="s">
        <v>51</v>
      </c>
      <c r="G5" s="16"/>
      <c r="H5" s="15" t="n">
        <v>46246</v>
      </c>
      <c r="I5" s="17" t="n">
        <f aca="false">IF(OR(ISNUMBER(SEARCH("Won",F5)),G5="Won"),1,0)</f>
        <v>0</v>
      </c>
      <c r="J5" s="17" t="n">
        <f aca="false">H5-A5</f>
        <v>3</v>
      </c>
      <c r="K5" s="18" t="s">
        <v>65</v>
      </c>
      <c r="L5" s="18" t="s">
        <v>66</v>
      </c>
    </row>
    <row r="6" customFormat="false" ht="15" hidden="false" customHeight="false" outlineLevel="0" collapsed="false">
      <c r="A6" s="15" t="n">
        <v>46248</v>
      </c>
      <c r="B6" s="16" t="s">
        <v>47</v>
      </c>
      <c r="C6" s="16" t="s">
        <v>48</v>
      </c>
      <c r="D6" s="16" t="s">
        <v>67</v>
      </c>
      <c r="E6" s="16" t="s">
        <v>68</v>
      </c>
      <c r="F6" s="16" t="s">
        <v>51</v>
      </c>
      <c r="G6" s="16"/>
      <c r="H6" s="15" t="n">
        <v>46248</v>
      </c>
      <c r="I6" s="17" t="n">
        <f aca="false">IF(OR(ISNUMBER(SEARCH("Won",F6)),G6="Won"),1,0)</f>
        <v>0</v>
      </c>
      <c r="J6" s="17" t="n">
        <f aca="false">H6-A6</f>
        <v>0</v>
      </c>
      <c r="K6" s="18" t="s">
        <v>69</v>
      </c>
      <c r="L6" s="18" t="s">
        <v>70</v>
      </c>
    </row>
    <row r="7" customFormat="false" ht="15" hidden="false" customHeight="false" outlineLevel="0" collapsed="false">
      <c r="A7" s="15" t="n">
        <v>46251</v>
      </c>
      <c r="B7" s="16" t="s">
        <v>47</v>
      </c>
      <c r="C7" s="16" t="s">
        <v>48</v>
      </c>
      <c r="D7" s="16" t="s">
        <v>71</v>
      </c>
      <c r="E7" s="16" t="s">
        <v>72</v>
      </c>
      <c r="F7" s="16" t="s">
        <v>51</v>
      </c>
      <c r="G7" s="16"/>
      <c r="H7" s="15" t="n">
        <v>46252</v>
      </c>
      <c r="I7" s="17" t="n">
        <f aca="false">IF(OR(ISNUMBER(SEARCH("Won",F7)),G7="Won"),1,0)</f>
        <v>0</v>
      </c>
      <c r="J7" s="17" t="n">
        <f aca="false">H7-A7</f>
        <v>1</v>
      </c>
      <c r="K7" s="18" t="s">
        <v>73</v>
      </c>
      <c r="L7" s="18" t="s">
        <v>74</v>
      </c>
    </row>
    <row r="8" customFormat="false" ht="15" hidden="false" customHeight="false" outlineLevel="0" collapsed="false">
      <c r="A8" s="15" t="n">
        <v>46251</v>
      </c>
      <c r="B8" s="16" t="s">
        <v>47</v>
      </c>
      <c r="C8" s="16" t="s">
        <v>75</v>
      </c>
      <c r="D8" s="16" t="s">
        <v>76</v>
      </c>
      <c r="E8" s="16" t="s">
        <v>77</v>
      </c>
      <c r="F8" s="16" t="s">
        <v>51</v>
      </c>
      <c r="G8" s="16" t="s">
        <v>78</v>
      </c>
      <c r="H8" s="15" t="n">
        <v>46304</v>
      </c>
      <c r="I8" s="17" t="n">
        <f aca="false">IF(OR(ISNUMBER(SEARCH("Won",F8)),G8="Won"),1,0)</f>
        <v>0</v>
      </c>
      <c r="J8" s="17" t="n">
        <f aca="false">H8-A8</f>
        <v>53</v>
      </c>
      <c r="K8" s="18" t="s">
        <v>79</v>
      </c>
      <c r="L8" s="18" t="s">
        <v>80</v>
      </c>
    </row>
    <row r="9" customFormat="false" ht="15" hidden="false" customHeight="false" outlineLevel="0" collapsed="false">
      <c r="A9" s="15" t="n">
        <v>46253</v>
      </c>
      <c r="B9" s="16" t="s">
        <v>47</v>
      </c>
      <c r="C9" s="16" t="s">
        <v>48</v>
      </c>
      <c r="D9" s="16" t="s">
        <v>81</v>
      </c>
      <c r="E9" s="16" t="s">
        <v>82</v>
      </c>
      <c r="F9" s="16" t="s">
        <v>51</v>
      </c>
      <c r="G9" s="16"/>
      <c r="H9" s="15" t="n">
        <v>46255</v>
      </c>
      <c r="I9" s="17" t="n">
        <f aca="false">IF(OR(ISNUMBER(SEARCH("Won",F9)),G9="Won"),1,0)</f>
        <v>0</v>
      </c>
      <c r="J9" s="17" t="n">
        <f aca="false">H9-A9</f>
        <v>2</v>
      </c>
      <c r="K9" s="18" t="s">
        <v>83</v>
      </c>
      <c r="L9" s="18" t="s">
        <v>84</v>
      </c>
    </row>
    <row r="10" customFormat="false" ht="15" hidden="false" customHeight="false" outlineLevel="0" collapsed="false">
      <c r="A10" s="15" t="n">
        <v>46257</v>
      </c>
      <c r="B10" s="16" t="s">
        <v>47</v>
      </c>
      <c r="C10" s="16" t="s">
        <v>48</v>
      </c>
      <c r="D10" s="16" t="s">
        <v>85</v>
      </c>
      <c r="E10" s="16" t="s">
        <v>86</v>
      </c>
      <c r="F10" s="16" t="s">
        <v>51</v>
      </c>
      <c r="G10" s="16"/>
      <c r="H10" s="15" t="n">
        <v>46261</v>
      </c>
      <c r="I10" s="17" t="n">
        <f aca="false">IF(OR(ISNUMBER(SEARCH("Won",F10)),G10="Won"),1,0)</f>
        <v>0</v>
      </c>
      <c r="J10" s="17" t="n">
        <f aca="false">H10-A10</f>
        <v>4</v>
      </c>
      <c r="K10" s="18" t="s">
        <v>87</v>
      </c>
      <c r="L10" s="18" t="s">
        <v>88</v>
      </c>
    </row>
    <row r="11" customFormat="false" ht="15" hidden="false" customHeight="false" outlineLevel="0" collapsed="false">
      <c r="A11" s="15" t="n">
        <v>46269</v>
      </c>
      <c r="B11" s="16" t="s">
        <v>89</v>
      </c>
      <c r="C11" s="16" t="s">
        <v>48</v>
      </c>
      <c r="D11" s="16" t="s">
        <v>90</v>
      </c>
      <c r="E11" s="16" t="s">
        <v>91</v>
      </c>
      <c r="F11" s="16" t="s">
        <v>51</v>
      </c>
      <c r="G11" s="16" t="s">
        <v>11</v>
      </c>
      <c r="H11" s="15" t="n">
        <v>46271</v>
      </c>
      <c r="I11" s="17" t="n">
        <f aca="false">IF(OR(ISNUMBER(SEARCH("Won",F11)),G11="Won"),1,0)</f>
        <v>1</v>
      </c>
      <c r="J11" s="17" t="n">
        <f aca="false">H11-A11</f>
        <v>2</v>
      </c>
      <c r="K11" s="18" t="s">
        <v>92</v>
      </c>
      <c r="L11" s="18" t="s">
        <v>93</v>
      </c>
    </row>
    <row r="12" customFormat="false" ht="15" hidden="false" customHeight="false" outlineLevel="0" collapsed="false">
      <c r="A12" s="15" t="n">
        <v>46271</v>
      </c>
      <c r="B12" s="16" t="s">
        <v>47</v>
      </c>
      <c r="C12" s="16" t="s">
        <v>48</v>
      </c>
      <c r="D12" s="16" t="s">
        <v>94</v>
      </c>
      <c r="E12" s="16" t="s">
        <v>95</v>
      </c>
      <c r="F12" s="16" t="s">
        <v>51</v>
      </c>
      <c r="G12" s="16"/>
      <c r="H12" s="15" t="n">
        <v>46271</v>
      </c>
      <c r="I12" s="17" t="n">
        <f aca="false">IF(OR(ISNUMBER(SEARCH("Won",F12)),G12="Won"),1,0)</f>
        <v>0</v>
      </c>
      <c r="J12" s="17" t="n">
        <f aca="false">H12-A12</f>
        <v>0</v>
      </c>
      <c r="K12" s="18" t="s">
        <v>96</v>
      </c>
      <c r="L12" s="18" t="s">
        <v>97</v>
      </c>
    </row>
    <row r="13" customFormat="false" ht="15" hidden="false" customHeight="false" outlineLevel="0" collapsed="false">
      <c r="A13" s="15" t="n">
        <v>46275</v>
      </c>
      <c r="B13" s="16" t="s">
        <v>89</v>
      </c>
      <c r="C13" s="16" t="s">
        <v>48</v>
      </c>
      <c r="D13" s="16" t="s">
        <v>98</v>
      </c>
      <c r="E13" s="16" t="s">
        <v>99</v>
      </c>
      <c r="F13" s="16" t="s">
        <v>51</v>
      </c>
      <c r="G13" s="16"/>
      <c r="H13" s="15" t="n">
        <v>46281</v>
      </c>
      <c r="I13" s="17" t="n">
        <f aca="false">IF(OR(ISNUMBER(SEARCH("Won",F13)),G13="Won"),1,0)</f>
        <v>0</v>
      </c>
      <c r="J13" s="17" t="n">
        <f aca="false">H13-A13</f>
        <v>6</v>
      </c>
      <c r="K13" s="18" t="s">
        <v>100</v>
      </c>
      <c r="L13" s="18" t="s">
        <v>101</v>
      </c>
    </row>
    <row r="14" customFormat="false" ht="15" hidden="false" customHeight="false" outlineLevel="0" collapsed="false">
      <c r="A14" s="15" t="n">
        <v>46280</v>
      </c>
      <c r="B14" s="16" t="s">
        <v>47</v>
      </c>
      <c r="C14" s="16" t="s">
        <v>48</v>
      </c>
      <c r="D14" s="16" t="s">
        <v>102</v>
      </c>
      <c r="E14" s="16" t="s">
        <v>103</v>
      </c>
      <c r="F14" s="16" t="s">
        <v>51</v>
      </c>
      <c r="G14" s="16"/>
      <c r="H14" s="15" t="n">
        <v>46281</v>
      </c>
      <c r="I14" s="17" t="n">
        <f aca="false">IF(OR(ISNUMBER(SEARCH("Won",F14)),G14="Won"),1,0)</f>
        <v>0</v>
      </c>
      <c r="J14" s="17" t="n">
        <f aca="false">H14-A14</f>
        <v>1</v>
      </c>
      <c r="K14" s="18" t="s">
        <v>104</v>
      </c>
      <c r="L14" s="18" t="s">
        <v>105</v>
      </c>
    </row>
    <row r="15" customFormat="false" ht="15" hidden="false" customHeight="false" outlineLevel="0" collapsed="false">
      <c r="A15" s="15" t="n">
        <v>46281</v>
      </c>
      <c r="B15" s="16" t="s">
        <v>47</v>
      </c>
      <c r="C15" s="16" t="s">
        <v>48</v>
      </c>
      <c r="D15" s="16" t="s">
        <v>106</v>
      </c>
      <c r="E15" s="16" t="s">
        <v>107</v>
      </c>
      <c r="F15" s="16" t="s">
        <v>51</v>
      </c>
      <c r="G15" s="16"/>
      <c r="H15" s="15" t="n">
        <v>46283</v>
      </c>
      <c r="I15" s="17" t="n">
        <f aca="false">IF(OR(ISNUMBER(SEARCH("Won",F15)),G15="Won"),1,0)</f>
        <v>0</v>
      </c>
      <c r="J15" s="17" t="n">
        <f aca="false">H15-A15</f>
        <v>2</v>
      </c>
      <c r="K15" s="18" t="s">
        <v>108</v>
      </c>
      <c r="L15" s="18" t="s">
        <v>109</v>
      </c>
    </row>
    <row r="16" customFormat="false" ht="15" hidden="false" customHeight="false" outlineLevel="0" collapsed="false">
      <c r="A16" s="15" t="n">
        <v>46286</v>
      </c>
      <c r="B16" s="16" t="s">
        <v>47</v>
      </c>
      <c r="C16" s="16" t="s">
        <v>48</v>
      </c>
      <c r="D16" s="16" t="s">
        <v>110</v>
      </c>
      <c r="E16" s="16" t="s">
        <v>111</v>
      </c>
      <c r="F16" s="16" t="s">
        <v>51</v>
      </c>
      <c r="G16" s="16"/>
      <c r="H16" s="15" t="n">
        <v>46287</v>
      </c>
      <c r="I16" s="17" t="n">
        <f aca="false">IF(OR(ISNUMBER(SEARCH("Won",F16)),G16="Won"),1,0)</f>
        <v>0</v>
      </c>
      <c r="J16" s="17" t="n">
        <f aca="false">H16-A16</f>
        <v>1</v>
      </c>
      <c r="K16" s="18" t="s">
        <v>112</v>
      </c>
      <c r="L16" s="18" t="s">
        <v>113</v>
      </c>
    </row>
    <row r="17" customFormat="false" ht="15" hidden="false" customHeight="false" outlineLevel="0" collapsed="false">
      <c r="A17" s="15" t="n">
        <v>46290</v>
      </c>
      <c r="B17" s="16" t="s">
        <v>47</v>
      </c>
      <c r="C17" s="16" t="s">
        <v>48</v>
      </c>
      <c r="D17" s="16" t="s">
        <v>114</v>
      </c>
      <c r="E17" s="16" t="s">
        <v>115</v>
      </c>
      <c r="F17" s="16" t="s">
        <v>51</v>
      </c>
      <c r="G17" s="16" t="s">
        <v>78</v>
      </c>
      <c r="H17" s="15" t="n">
        <v>46297</v>
      </c>
      <c r="I17" s="17" t="n">
        <f aca="false">IF(OR(ISNUMBER(SEARCH("Won",F17)),G17="Won"),1,0)</f>
        <v>0</v>
      </c>
      <c r="J17" s="17" t="n">
        <f aca="false">H17-A17</f>
        <v>7</v>
      </c>
      <c r="K17" s="18" t="s">
        <v>116</v>
      </c>
      <c r="L17" s="18" t="s">
        <v>117</v>
      </c>
    </row>
    <row r="18" customFormat="false" ht="15" hidden="false" customHeight="false" outlineLevel="0" collapsed="false">
      <c r="A18" s="15" t="n">
        <v>46295</v>
      </c>
      <c r="B18" s="16" t="s">
        <v>47</v>
      </c>
      <c r="C18" s="16" t="s">
        <v>75</v>
      </c>
      <c r="D18" s="16" t="s">
        <v>118</v>
      </c>
      <c r="E18" s="16" t="s">
        <v>119</v>
      </c>
      <c r="F18" s="16" t="s">
        <v>51</v>
      </c>
      <c r="G18" s="16" t="s">
        <v>120</v>
      </c>
      <c r="H18" s="15" t="n">
        <v>46295</v>
      </c>
      <c r="I18" s="17" t="n">
        <f aca="false">IF(OR(ISNUMBER(SEARCH("Won",F18)),G18="Won"),1,0)</f>
        <v>0</v>
      </c>
      <c r="J18" s="17" t="n">
        <f aca="false">H18-A18</f>
        <v>0</v>
      </c>
      <c r="K18" s="18" t="s">
        <v>121</v>
      </c>
      <c r="L18" s="18" t="s">
        <v>122</v>
      </c>
    </row>
    <row r="19" customFormat="false" ht="15" hidden="false" customHeight="false" outlineLevel="0" collapsed="false">
      <c r="A19" s="15" t="n">
        <v>46295</v>
      </c>
      <c r="B19" s="16" t="s">
        <v>47</v>
      </c>
      <c r="C19" s="16" t="s">
        <v>48</v>
      </c>
      <c r="D19" s="16" t="s">
        <v>123</v>
      </c>
      <c r="E19" s="16" t="s">
        <v>124</v>
      </c>
      <c r="F19" s="16" t="s">
        <v>51</v>
      </c>
      <c r="G19" s="16" t="s">
        <v>78</v>
      </c>
      <c r="H19" s="15" t="n">
        <v>46298</v>
      </c>
      <c r="I19" s="17" t="n">
        <f aca="false">IF(OR(ISNUMBER(SEARCH("Won",F19)),G19="Won"),1,0)</f>
        <v>0</v>
      </c>
      <c r="J19" s="17" t="n">
        <f aca="false">H19-A19</f>
        <v>3</v>
      </c>
      <c r="K19" s="18" t="s">
        <v>125</v>
      </c>
      <c r="L19" s="18" t="s">
        <v>126</v>
      </c>
    </row>
    <row r="20" customFormat="false" ht="15" hidden="false" customHeight="false" outlineLevel="0" collapsed="false">
      <c r="A20" s="15" t="n">
        <v>46297</v>
      </c>
      <c r="B20" s="16" t="s">
        <v>47</v>
      </c>
      <c r="C20" s="16" t="s">
        <v>48</v>
      </c>
      <c r="D20" s="16" t="s">
        <v>127</v>
      </c>
      <c r="E20" s="16" t="s">
        <v>128</v>
      </c>
      <c r="F20" s="16" t="s">
        <v>51</v>
      </c>
      <c r="G20" s="16" t="s">
        <v>78</v>
      </c>
      <c r="H20" s="15" t="n">
        <v>46298</v>
      </c>
      <c r="I20" s="17" t="n">
        <f aca="false">IF(OR(ISNUMBER(SEARCH("Won",F20)),G20="Won"),1,0)</f>
        <v>0</v>
      </c>
      <c r="J20" s="17" t="n">
        <f aca="false">H20-A20</f>
        <v>1</v>
      </c>
      <c r="K20" s="18" t="s">
        <v>129</v>
      </c>
      <c r="L20" s="18" t="s">
        <v>130</v>
      </c>
    </row>
    <row r="21" customFormat="false" ht="15" hidden="false" customHeight="false" outlineLevel="0" collapsed="false">
      <c r="A21" s="15" t="n">
        <v>46299</v>
      </c>
      <c r="B21" s="16" t="s">
        <v>47</v>
      </c>
      <c r="C21" s="16" t="s">
        <v>48</v>
      </c>
      <c r="D21" s="16" t="s">
        <v>131</v>
      </c>
      <c r="E21" s="16" t="s">
        <v>132</v>
      </c>
      <c r="F21" s="16" t="s">
        <v>51</v>
      </c>
      <c r="G21" s="16"/>
      <c r="H21" s="15" t="n">
        <v>46301</v>
      </c>
      <c r="I21" s="17" t="n">
        <f aca="false">IF(OR(ISNUMBER(SEARCH("Won",F21)),G21="Won"),1,0)</f>
        <v>0</v>
      </c>
      <c r="J21" s="17" t="n">
        <f aca="false">H21-A21</f>
        <v>2</v>
      </c>
      <c r="K21" s="18" t="s">
        <v>133</v>
      </c>
      <c r="L21" s="18" t="s">
        <v>134</v>
      </c>
    </row>
    <row r="22" customFormat="false" ht="15" hidden="false" customHeight="false" outlineLevel="0" collapsed="false">
      <c r="A22" s="15" t="n">
        <v>46299</v>
      </c>
      <c r="B22" s="16" t="s">
        <v>135</v>
      </c>
      <c r="C22" s="16" t="s">
        <v>48</v>
      </c>
      <c r="D22" s="16" t="s">
        <v>136</v>
      </c>
      <c r="E22" s="16" t="s">
        <v>137</v>
      </c>
      <c r="F22" s="16" t="s">
        <v>51</v>
      </c>
      <c r="G22" s="16"/>
      <c r="H22" s="15" t="n">
        <v>46299</v>
      </c>
      <c r="I22" s="17" t="n">
        <f aca="false">IF(OR(ISNUMBER(SEARCH("Won",F22)),G22="Won"),1,0)</f>
        <v>0</v>
      </c>
      <c r="J22" s="17" t="n">
        <f aca="false">H22-A22</f>
        <v>0</v>
      </c>
      <c r="K22" s="18" t="s">
        <v>138</v>
      </c>
      <c r="L22" s="18" t="s">
        <v>139</v>
      </c>
    </row>
    <row r="23" customFormat="false" ht="15" hidden="false" customHeight="false" outlineLevel="0" collapsed="false">
      <c r="A23" s="15" t="n">
        <v>46307</v>
      </c>
      <c r="B23" s="16" t="s">
        <v>140</v>
      </c>
      <c r="C23" s="16" t="s">
        <v>75</v>
      </c>
      <c r="D23" s="16" t="s">
        <v>141</v>
      </c>
      <c r="E23" s="16" t="s">
        <v>142</v>
      </c>
      <c r="F23" s="16" t="s">
        <v>51</v>
      </c>
      <c r="G23" s="16" t="s">
        <v>143</v>
      </c>
      <c r="H23" s="15" t="n">
        <v>46307</v>
      </c>
      <c r="I23" s="17" t="n">
        <f aca="false">IF(OR(ISNUMBER(SEARCH("Won",F23)),G23="Won"),1,0)</f>
        <v>0</v>
      </c>
      <c r="J23" s="17" t="n">
        <f aca="false">H23-A23</f>
        <v>0</v>
      </c>
      <c r="K23" s="18" t="s">
        <v>144</v>
      </c>
      <c r="L23" s="18" t="s">
        <v>145</v>
      </c>
    </row>
    <row r="24" customFormat="false" ht="15" hidden="false" customHeight="false" outlineLevel="0" collapsed="false">
      <c r="A24" s="15" t="n">
        <v>46312</v>
      </c>
      <c r="B24" s="16" t="s">
        <v>47</v>
      </c>
      <c r="C24" s="16" t="s">
        <v>48</v>
      </c>
      <c r="D24" s="16" t="s">
        <v>146</v>
      </c>
      <c r="E24" s="16" t="s">
        <v>147</v>
      </c>
      <c r="F24" s="16" t="s">
        <v>51</v>
      </c>
      <c r="G24" s="16" t="s">
        <v>143</v>
      </c>
      <c r="H24" s="15" t="n">
        <v>46312</v>
      </c>
      <c r="I24" s="17" t="n">
        <f aca="false">IF(OR(ISNUMBER(SEARCH("Won",F24)),G24="Won"),1,0)</f>
        <v>0</v>
      </c>
      <c r="J24" s="17" t="n">
        <f aca="false">H24-A24</f>
        <v>0</v>
      </c>
      <c r="K24" s="18" t="s">
        <v>148</v>
      </c>
      <c r="L24" s="18" t="s">
        <v>149</v>
      </c>
    </row>
    <row r="25" customFormat="false" ht="15" hidden="false" customHeight="false" outlineLevel="0" collapsed="false">
      <c r="A25" s="15" t="n">
        <v>46314</v>
      </c>
      <c r="B25" s="16" t="s">
        <v>89</v>
      </c>
      <c r="C25" s="16" t="s">
        <v>75</v>
      </c>
      <c r="D25" s="16" t="s">
        <v>150</v>
      </c>
      <c r="E25" s="16" t="s">
        <v>151</v>
      </c>
      <c r="F25" s="16" t="s">
        <v>51</v>
      </c>
      <c r="G25" s="16"/>
      <c r="H25" s="15" t="n">
        <v>46314</v>
      </c>
      <c r="I25" s="17" t="n">
        <f aca="false">IF(OR(ISNUMBER(SEARCH("Won",F25)),G25="Won"),1,0)</f>
        <v>0</v>
      </c>
      <c r="J25" s="17" t="n">
        <f aca="false">H25-A25</f>
        <v>0</v>
      </c>
      <c r="K25" s="18" t="s">
        <v>152</v>
      </c>
      <c r="L25" s="18" t="s">
        <v>153</v>
      </c>
    </row>
    <row r="26" customFormat="false" ht="15" hidden="false" customHeight="false" outlineLevel="0" collapsed="false">
      <c r="A26" s="19" t="s">
        <v>154</v>
      </c>
      <c r="B26" s="20"/>
      <c r="C26" s="20"/>
      <c r="D26" s="19" t="n">
        <f aca="false">COUNTA(D2:D25)</f>
        <v>24</v>
      </c>
      <c r="E26" s="20"/>
      <c r="F26" s="20"/>
      <c r="G26" s="20"/>
      <c r="H26" s="20"/>
      <c r="I26" s="19" t="n">
        <f aca="false">SUM(I2:I25)</f>
        <v>1</v>
      </c>
      <c r="J26" s="21" t="n">
        <f aca="false">AVERAGE(J2:J25)</f>
        <v>4.25</v>
      </c>
      <c r="K26" s="20"/>
      <c r="L26" s="20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5" hidden="false" customHeight="false" outlineLevel="0" collapsed="false">
      <c r="A28" s="3" t="s">
        <v>155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</sheetData>
  <hyperlinks>
    <hyperlink ref="K2" r:id="rId2" display="https://app.notion.com/p/3aebd8b60a6380ffae17f7a8640b3a9f"/>
    <hyperlink ref="L2" r:id="rId3" display="https://app.notion.com/p/3babd8b60a6381d7a9fadb59a24e4ab4"/>
    <hyperlink ref="K3" r:id="rId4" display="https://app.notion.com/p/3b1bd8b60a6380fe8972fba06776352c"/>
    <hyperlink ref="L3" r:id="rId5" display="https://app.notion.com/p/3b1bd8b60a6381d5b12bef45d16ee5c7"/>
    <hyperlink ref="K4" r:id="rId6" display="https://app.notion.com/p/3b6bd8b60a6380c3a9d4cd6fc4e0d4ba"/>
    <hyperlink ref="L4" r:id="rId7" display="https://app.notion.com/p/3b8bd8b60a6381939f0cd23fb0bc08cf"/>
    <hyperlink ref="K5" r:id="rId8" display="https://app.notion.com/p/3b6bd8b60a6380b58dffcf1fb2048c16"/>
    <hyperlink ref="L5" r:id="rId9" display="https://app.notion.com/p/3babd8b60a638162859ceafb39eec6ef"/>
    <hyperlink ref="K6" r:id="rId10" display="https://app.notion.com/p/3bcbd8b60a638036999afddb9f2997df"/>
    <hyperlink ref="L6" r:id="rId11" display="https://app.notion.com/p/3bcbd8b60a63815abc31ccd14e852a23"/>
    <hyperlink ref="K7" r:id="rId12" display="https://app.notion.com/p/3bfbd8b60a638059bc48fcfbfe32712d"/>
    <hyperlink ref="L7" r:id="rId13" display="https://app.notion.com/p/3bfbd8b60a638121bb3ef3c819d9a781"/>
    <hyperlink ref="K8" r:id="rId14" display="https://app.notion.com/p/3f4bd8b60a6380979690d118872c5fe7"/>
    <hyperlink ref="L8" r:id="rId15" display="https://app.notion.com/p/3f4bd8b60a6381d99b8ce80422adedf3"/>
    <hyperlink ref="K9" r:id="rId16" display="https://app.notion.com/p/3c1bd8b60a6380e68ff5e16d9dc90a05"/>
    <hyperlink ref="L9" r:id="rId17" display="https://app.notion.com/p/3c3bd8b60a6381c485e8f231672ce4c5"/>
    <hyperlink ref="K10" r:id="rId18" display="https://app.notion.com/p/3c5bd8b60a6380f9beffec7f6ebf7bcc"/>
    <hyperlink ref="L10" r:id="rId19" display="https://app.notion.com/p/3c9bd8b60a6381bcb17ee7bea7f0dbd1"/>
    <hyperlink ref="K11" r:id="rId20" display="https://app.notion.com/p/3d1bd8b60a6380f8b80af7ded3b1d693"/>
    <hyperlink ref="L11" r:id="rId21" display="https://app.notion.com/p/3d3bd8b60a63812c9b83c241d0759778"/>
    <hyperlink ref="K12" r:id="rId22" display="https://app.notion.com/p/3d2bd8b60a6380239fbbf2e5caf3535b"/>
    <hyperlink ref="L12" r:id="rId23" display="https://app.notion.com/p/3d3bd8b60a6381b88a86eeb3ed090c66"/>
    <hyperlink ref="K13" r:id="rId24" display="https://app.notion.com/p/3d7bd8b60a6380d09a13c7ea99f5c73d"/>
    <hyperlink ref="L13" r:id="rId25" display="https://app.notion.com/p/3ddbd8b60a638178b0c7e3683708efe0"/>
    <hyperlink ref="K14" r:id="rId26" display="https://app.notion.com/p/3dcbd8b60a6380e2b52cf7954feedfe4"/>
    <hyperlink ref="L14" r:id="rId27" display="https://app.notion.com/p/3ddbd8b60a6381baa7b1f0a2af8af605"/>
    <hyperlink ref="K15" r:id="rId28" display="https://app.notion.com/p/3ddbd8b60a6380b3ac7afeb14ac92545"/>
    <hyperlink ref="L15" r:id="rId29" display="https://app.notion.com/p/3dfbd8b60a638185ab0cec5a8d146a51"/>
    <hyperlink ref="K16" r:id="rId30" display="https://app.notion.com/p/3e2bd8b60a6380dd8ae2d1f13da0c938"/>
    <hyperlink ref="L16" r:id="rId31" display="https://app.notion.com/p/3e2bd8b60a63819d908fe4dfdd23e43a"/>
    <hyperlink ref="K17" r:id="rId32" display="https://app.notion.com/p/3e6bd8b60a63805f9b19cbdf75e9db07"/>
    <hyperlink ref="L17" r:id="rId33" display="https://app.notion.com/p/3edbd8b60a6381beaaefdda254fc9bdd"/>
    <hyperlink ref="K18" r:id="rId34" display="https://app.notion.com/p/3ebbd8b60a63806baf49fc5adfddb1f7"/>
    <hyperlink ref="L18" r:id="rId35" display="https://app.notion.com/p/3ebbd8b60a6381d8b49ae30dfc77e68f"/>
    <hyperlink ref="K19" r:id="rId36" display="https://app.notion.com/p/3ebbd8b60a63809a96abd3aef15d0a3a"/>
    <hyperlink ref="L19" r:id="rId37" display="https://app.notion.com/p/3edbd8b60a638155a8bbc9626f125089"/>
    <hyperlink ref="K20" r:id="rId38" display="https://app.notion.com/p/3edbd8b60a6380be9060ed914eb29833"/>
    <hyperlink ref="L20" r:id="rId39" display="https://app.notion.com/p/3edbd8b60a63819291d2cda5658a5b85"/>
    <hyperlink ref="K21" r:id="rId40" display="https://app.notion.com/p/3efbd8b60a638082810dc2c800331cd9"/>
    <hyperlink ref="L21" r:id="rId41" display="https://app.notion.com/p/3f1bd8b60a638190b44fd0aa570788e3"/>
    <hyperlink ref="K22" r:id="rId42" display="https://app.notion.com/p/3efbd8b60a6380c89a41ed9957e880d0"/>
    <hyperlink ref="L22" r:id="rId43" display="https://app.notion.com/p/3efbd8b60a638180a8fdceec5de0cf41"/>
    <hyperlink ref="K23" r:id="rId44" display="https://app.notion.com/p/3f7bd8b60a638005ac71ff3702d1cc69"/>
    <hyperlink ref="L23" r:id="rId45" display="https://app.notion.com/p/3f7bd8b60a6381a98a0beffc50495ba7"/>
    <hyperlink ref="K24" r:id="rId46" display="https://app.notion.com/p/3fbbd8b60a6380cfa966da65cf868718"/>
    <hyperlink ref="L24" r:id="rId47" display="https://app.notion.com/p/3fcbd8b60a63818fb584f73da73ebad6"/>
    <hyperlink ref="K25" r:id="rId48" display="https://app.notion.com/p/3febd8b60a63802fa6f7e12a6dba6554"/>
    <hyperlink ref="L25" r:id="rId49" display="https://app.notion.com/p/3febd8b60a6381deb4bef9ab2288aa0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4"/>
  </cols>
  <sheetData>
    <row r="1" customFormat="false" ht="31.5" hidden="false" customHeight="true" outlineLevel="0" collapsed="false">
      <c r="A1" s="4" t="s">
        <v>156</v>
      </c>
      <c r="B1" s="4" t="s">
        <v>157</v>
      </c>
      <c r="C1" s="4" t="s">
        <v>36</v>
      </c>
      <c r="D1" s="4" t="s">
        <v>24</v>
      </c>
      <c r="E1" s="4" t="s">
        <v>10</v>
      </c>
      <c r="F1" s="4" t="s">
        <v>11</v>
      </c>
      <c r="G1" s="4" t="s">
        <v>158</v>
      </c>
    </row>
    <row r="2" customFormat="false" ht="15" hidden="false" customHeight="false" outlineLevel="0" collapsed="false">
      <c r="A2" s="15" t="n">
        <v>46023</v>
      </c>
      <c r="B2" s="16" t="s">
        <v>159</v>
      </c>
      <c r="C2" s="16" t="s">
        <v>135</v>
      </c>
      <c r="D2" s="16" t="n">
        <v>57</v>
      </c>
      <c r="E2" s="16" t="n">
        <v>6</v>
      </c>
      <c r="F2" s="16" t="n">
        <v>1</v>
      </c>
      <c r="G2" s="16" t="s">
        <v>160</v>
      </c>
    </row>
    <row r="3" customFormat="false" ht="15" hidden="false" customHeight="false" outlineLevel="0" collapsed="false">
      <c r="A3" s="15" t="n">
        <v>46023</v>
      </c>
      <c r="B3" s="16" t="s">
        <v>159</v>
      </c>
      <c r="C3" s="16" t="s">
        <v>89</v>
      </c>
      <c r="D3" s="16" t="n">
        <v>87</v>
      </c>
      <c r="E3" s="16" t="n">
        <v>13</v>
      </c>
      <c r="F3" s="16" t="n">
        <v>2</v>
      </c>
      <c r="G3" s="16" t="s">
        <v>160</v>
      </c>
    </row>
    <row r="4" customFormat="false" ht="15" hidden="false" customHeight="false" outlineLevel="0" collapsed="false">
      <c r="A4" s="15" t="n">
        <v>46023</v>
      </c>
      <c r="B4" s="16" t="s">
        <v>159</v>
      </c>
      <c r="C4" s="16" t="s">
        <v>140</v>
      </c>
      <c r="D4" s="16" t="n">
        <v>45</v>
      </c>
      <c r="E4" s="16" t="n">
        <v>2</v>
      </c>
      <c r="F4" s="16" t="n">
        <v>0</v>
      </c>
      <c r="G4" s="16" t="s">
        <v>160</v>
      </c>
    </row>
    <row r="5" customFormat="false" ht="15" hidden="false" customHeight="false" outlineLevel="0" collapsed="false">
      <c r="A5" s="15" t="n">
        <v>46023</v>
      </c>
      <c r="B5" s="16" t="s">
        <v>159</v>
      </c>
      <c r="C5" s="16" t="s">
        <v>47</v>
      </c>
      <c r="D5" s="16" t="n">
        <v>142</v>
      </c>
      <c r="E5" s="16" t="n">
        <v>14</v>
      </c>
      <c r="F5" s="16" t="n">
        <v>3</v>
      </c>
      <c r="G5" s="16" t="s">
        <v>160</v>
      </c>
    </row>
    <row r="6" customFormat="false" ht="15" hidden="false" customHeight="false" outlineLevel="0" collapsed="false">
      <c r="A6" s="15" t="n">
        <v>46023</v>
      </c>
      <c r="B6" s="16" t="s">
        <v>159</v>
      </c>
      <c r="C6" s="16" t="s">
        <v>161</v>
      </c>
      <c r="D6" s="16" t="n">
        <v>3</v>
      </c>
      <c r="E6" s="16" t="n">
        <v>0</v>
      </c>
      <c r="F6" s="16" t="n">
        <v>0</v>
      </c>
      <c r="G6" s="16" t="s">
        <v>160</v>
      </c>
    </row>
    <row r="7" customFormat="false" ht="15" hidden="false" customHeight="false" outlineLevel="0" collapsed="false">
      <c r="A7" s="15" t="n">
        <v>46023</v>
      </c>
      <c r="B7" s="16" t="s">
        <v>159</v>
      </c>
      <c r="C7" s="16" t="s">
        <v>162</v>
      </c>
      <c r="D7" s="16" t="n">
        <v>1</v>
      </c>
      <c r="E7" s="16" t="n">
        <v>0</v>
      </c>
      <c r="F7" s="16" t="n">
        <v>0</v>
      </c>
      <c r="G7" s="16" t="s">
        <v>160</v>
      </c>
    </row>
    <row r="8" customFormat="false" ht="15" hidden="false" customHeight="false" outlineLevel="0" collapsed="false">
      <c r="A8" s="15" t="n">
        <v>46054</v>
      </c>
      <c r="B8" s="16" t="s">
        <v>163</v>
      </c>
      <c r="C8" s="16" t="s">
        <v>135</v>
      </c>
      <c r="D8" s="16" t="n">
        <v>41</v>
      </c>
      <c r="E8" s="16" t="n">
        <v>7</v>
      </c>
      <c r="F8" s="16" t="n">
        <v>1</v>
      </c>
      <c r="G8" s="16" t="s">
        <v>160</v>
      </c>
    </row>
    <row r="9" customFormat="false" ht="15" hidden="false" customHeight="false" outlineLevel="0" collapsed="false">
      <c r="A9" s="15" t="n">
        <v>46054</v>
      </c>
      <c r="B9" s="16" t="s">
        <v>163</v>
      </c>
      <c r="C9" s="16" t="s">
        <v>89</v>
      </c>
      <c r="D9" s="16" t="n">
        <v>123</v>
      </c>
      <c r="E9" s="16" t="n">
        <v>17</v>
      </c>
      <c r="F9" s="16" t="n">
        <v>4</v>
      </c>
      <c r="G9" s="16" t="s">
        <v>160</v>
      </c>
    </row>
    <row r="10" customFormat="false" ht="15" hidden="false" customHeight="false" outlineLevel="0" collapsed="false">
      <c r="A10" s="15" t="n">
        <v>46054</v>
      </c>
      <c r="B10" s="16" t="s">
        <v>163</v>
      </c>
      <c r="C10" s="16" t="s">
        <v>140</v>
      </c>
      <c r="D10" s="16" t="n">
        <v>47</v>
      </c>
      <c r="E10" s="16" t="n">
        <v>4</v>
      </c>
      <c r="F10" s="16" t="n">
        <v>0</v>
      </c>
      <c r="G10" s="16" t="s">
        <v>160</v>
      </c>
    </row>
    <row r="11" customFormat="false" ht="15" hidden="false" customHeight="false" outlineLevel="0" collapsed="false">
      <c r="A11" s="15" t="n">
        <v>46054</v>
      </c>
      <c r="B11" s="16" t="s">
        <v>163</v>
      </c>
      <c r="C11" s="16" t="s">
        <v>47</v>
      </c>
      <c r="D11" s="16" t="n">
        <v>143</v>
      </c>
      <c r="E11" s="16" t="n">
        <v>20</v>
      </c>
      <c r="F11" s="16" t="n">
        <v>0</v>
      </c>
      <c r="G11" s="16" t="s">
        <v>160</v>
      </c>
    </row>
    <row r="12" customFormat="false" ht="15" hidden="false" customHeight="false" outlineLevel="0" collapsed="false">
      <c r="A12" s="15" t="n">
        <v>46054</v>
      </c>
      <c r="B12" s="16" t="s">
        <v>163</v>
      </c>
      <c r="C12" s="16" t="s">
        <v>161</v>
      </c>
      <c r="D12" s="16" t="n">
        <v>2</v>
      </c>
      <c r="E12" s="16" t="n">
        <v>1</v>
      </c>
      <c r="F12" s="16" t="n">
        <v>0</v>
      </c>
      <c r="G12" s="16" t="s">
        <v>160</v>
      </c>
    </row>
    <row r="13" customFormat="false" ht="15" hidden="false" customHeight="false" outlineLevel="0" collapsed="false">
      <c r="A13" s="15" t="n">
        <v>46054</v>
      </c>
      <c r="B13" s="16" t="s">
        <v>163</v>
      </c>
      <c r="C13" s="16" t="s">
        <v>162</v>
      </c>
      <c r="D13" s="16" t="n">
        <v>2</v>
      </c>
      <c r="E13" s="16" t="n">
        <v>0</v>
      </c>
      <c r="F13" s="16" t="n">
        <v>0</v>
      </c>
      <c r="G13" s="16" t="s">
        <v>160</v>
      </c>
    </row>
    <row r="14" customFormat="false" ht="15" hidden="false" customHeight="false" outlineLevel="0" collapsed="false">
      <c r="A14" s="15" t="n">
        <v>46082</v>
      </c>
      <c r="B14" s="16" t="s">
        <v>164</v>
      </c>
      <c r="C14" s="16" t="s">
        <v>135</v>
      </c>
      <c r="D14" s="16" t="n">
        <v>26</v>
      </c>
      <c r="E14" s="16" t="n">
        <v>3</v>
      </c>
      <c r="F14" s="16" t="n">
        <v>1</v>
      </c>
      <c r="G14" s="16" t="s">
        <v>160</v>
      </c>
    </row>
    <row r="15" customFormat="false" ht="15" hidden="false" customHeight="false" outlineLevel="0" collapsed="false">
      <c r="A15" s="15" t="n">
        <v>46082</v>
      </c>
      <c r="B15" s="16" t="s">
        <v>164</v>
      </c>
      <c r="C15" s="16" t="s">
        <v>89</v>
      </c>
      <c r="D15" s="16" t="n">
        <v>85</v>
      </c>
      <c r="E15" s="16" t="n">
        <v>2</v>
      </c>
      <c r="F15" s="16" t="n">
        <v>0</v>
      </c>
      <c r="G15" s="16" t="s">
        <v>160</v>
      </c>
    </row>
    <row r="16" customFormat="false" ht="15" hidden="false" customHeight="false" outlineLevel="0" collapsed="false">
      <c r="A16" s="15" t="n">
        <v>46082</v>
      </c>
      <c r="B16" s="16" t="s">
        <v>164</v>
      </c>
      <c r="C16" s="16" t="s">
        <v>140</v>
      </c>
      <c r="D16" s="16" t="n">
        <v>33</v>
      </c>
      <c r="E16" s="16" t="n">
        <v>2</v>
      </c>
      <c r="F16" s="16" t="n">
        <v>1</v>
      </c>
      <c r="G16" s="16" t="s">
        <v>160</v>
      </c>
    </row>
    <row r="17" customFormat="false" ht="15" hidden="false" customHeight="false" outlineLevel="0" collapsed="false">
      <c r="A17" s="15" t="n">
        <v>46082</v>
      </c>
      <c r="B17" s="16" t="s">
        <v>164</v>
      </c>
      <c r="C17" s="16" t="s">
        <v>47</v>
      </c>
      <c r="D17" s="16" t="n">
        <v>95</v>
      </c>
      <c r="E17" s="16" t="n">
        <v>5</v>
      </c>
      <c r="F17" s="16" t="n">
        <v>1</v>
      </c>
      <c r="G17" s="16" t="s">
        <v>160</v>
      </c>
    </row>
    <row r="18" customFormat="false" ht="15" hidden="false" customHeight="false" outlineLevel="0" collapsed="false">
      <c r="A18" s="15" t="n">
        <v>46082</v>
      </c>
      <c r="B18" s="16" t="s">
        <v>164</v>
      </c>
      <c r="C18" s="16" t="s">
        <v>161</v>
      </c>
      <c r="D18" s="16" t="n">
        <v>1</v>
      </c>
      <c r="E18" s="16" t="n">
        <v>0</v>
      </c>
      <c r="F18" s="16" t="n">
        <v>0</v>
      </c>
      <c r="G18" s="16" t="s">
        <v>160</v>
      </c>
    </row>
    <row r="19" customFormat="false" ht="15" hidden="false" customHeight="false" outlineLevel="0" collapsed="false">
      <c r="A19" s="15" t="n">
        <v>46113</v>
      </c>
      <c r="B19" s="16" t="s">
        <v>165</v>
      </c>
      <c r="C19" s="16" t="s">
        <v>135</v>
      </c>
      <c r="D19" s="16" t="n">
        <v>36</v>
      </c>
      <c r="E19" s="16" t="n">
        <v>1</v>
      </c>
      <c r="F19" s="16" t="n">
        <v>0</v>
      </c>
      <c r="G19" s="16" t="s">
        <v>160</v>
      </c>
    </row>
    <row r="20" customFormat="false" ht="15" hidden="false" customHeight="false" outlineLevel="0" collapsed="false">
      <c r="A20" s="15" t="n">
        <v>46113</v>
      </c>
      <c r="B20" s="16" t="s">
        <v>165</v>
      </c>
      <c r="C20" s="16" t="s">
        <v>89</v>
      </c>
      <c r="D20" s="16" t="n">
        <v>87</v>
      </c>
      <c r="E20" s="16" t="n">
        <v>2</v>
      </c>
      <c r="F20" s="16" t="n">
        <v>0</v>
      </c>
      <c r="G20" s="16" t="s">
        <v>160</v>
      </c>
    </row>
    <row r="21" customFormat="false" ht="15" hidden="false" customHeight="false" outlineLevel="0" collapsed="false">
      <c r="A21" s="15" t="n">
        <v>46113</v>
      </c>
      <c r="B21" s="16" t="s">
        <v>165</v>
      </c>
      <c r="C21" s="16" t="s">
        <v>140</v>
      </c>
      <c r="D21" s="16" t="n">
        <v>43</v>
      </c>
      <c r="E21" s="16" t="n">
        <v>2</v>
      </c>
      <c r="F21" s="16" t="n">
        <v>0</v>
      </c>
      <c r="G21" s="16" t="s">
        <v>160</v>
      </c>
    </row>
    <row r="22" customFormat="false" ht="15" hidden="false" customHeight="false" outlineLevel="0" collapsed="false">
      <c r="A22" s="15" t="n">
        <v>46113</v>
      </c>
      <c r="B22" s="16" t="s">
        <v>165</v>
      </c>
      <c r="C22" s="16" t="s">
        <v>47</v>
      </c>
      <c r="D22" s="16" t="n">
        <v>150</v>
      </c>
      <c r="E22" s="16" t="n">
        <v>8</v>
      </c>
      <c r="F22" s="16" t="n">
        <v>1</v>
      </c>
      <c r="G22" s="16" t="s">
        <v>160</v>
      </c>
    </row>
    <row r="23" customFormat="false" ht="15" hidden="false" customHeight="false" outlineLevel="0" collapsed="false">
      <c r="A23" s="15" t="n">
        <v>46113</v>
      </c>
      <c r="B23" s="16" t="s">
        <v>165</v>
      </c>
      <c r="C23" s="16" t="s">
        <v>161</v>
      </c>
      <c r="D23" s="16" t="n">
        <v>5</v>
      </c>
      <c r="E23" s="16" t="n">
        <v>1</v>
      </c>
      <c r="F23" s="16" t="n">
        <v>0</v>
      </c>
      <c r="G23" s="16" t="s">
        <v>160</v>
      </c>
    </row>
    <row r="24" customFormat="false" ht="15" hidden="false" customHeight="false" outlineLevel="0" collapsed="false">
      <c r="A24" s="15" t="n">
        <v>46143</v>
      </c>
      <c r="B24" s="16" t="s">
        <v>166</v>
      </c>
      <c r="C24" s="16" t="s">
        <v>135</v>
      </c>
      <c r="D24" s="16" t="n">
        <v>35</v>
      </c>
      <c r="E24" s="16" t="n">
        <v>1</v>
      </c>
      <c r="F24" s="16" t="n">
        <v>0</v>
      </c>
      <c r="G24" s="16" t="s">
        <v>160</v>
      </c>
    </row>
    <row r="25" customFormat="false" ht="15" hidden="false" customHeight="false" outlineLevel="0" collapsed="false">
      <c r="A25" s="15" t="n">
        <v>46143</v>
      </c>
      <c r="B25" s="16" t="s">
        <v>166</v>
      </c>
      <c r="C25" s="16" t="s">
        <v>89</v>
      </c>
      <c r="D25" s="16" t="n">
        <v>54</v>
      </c>
      <c r="E25" s="16" t="n">
        <v>3</v>
      </c>
      <c r="F25" s="16" t="n">
        <v>2</v>
      </c>
      <c r="G25" s="16" t="s">
        <v>160</v>
      </c>
    </row>
    <row r="26" customFormat="false" ht="15" hidden="false" customHeight="false" outlineLevel="0" collapsed="false">
      <c r="A26" s="15" t="n">
        <v>46143</v>
      </c>
      <c r="B26" s="16" t="s">
        <v>166</v>
      </c>
      <c r="C26" s="16" t="s">
        <v>140</v>
      </c>
      <c r="D26" s="16" t="n">
        <v>43</v>
      </c>
      <c r="E26" s="16" t="n">
        <v>1</v>
      </c>
      <c r="F26" s="16" t="n">
        <v>0</v>
      </c>
      <c r="G26" s="16" t="s">
        <v>160</v>
      </c>
    </row>
    <row r="27" customFormat="false" ht="15" hidden="false" customHeight="false" outlineLevel="0" collapsed="false">
      <c r="A27" s="15" t="n">
        <v>46143</v>
      </c>
      <c r="B27" s="16" t="s">
        <v>166</v>
      </c>
      <c r="C27" s="16" t="s">
        <v>47</v>
      </c>
      <c r="D27" s="16" t="n">
        <v>157</v>
      </c>
      <c r="E27" s="16" t="n">
        <v>16</v>
      </c>
      <c r="F27" s="16" t="n">
        <v>4</v>
      </c>
      <c r="G27" s="16" t="s">
        <v>160</v>
      </c>
    </row>
    <row r="28" customFormat="false" ht="15" hidden="false" customHeight="false" outlineLevel="0" collapsed="false">
      <c r="A28" s="15" t="n">
        <v>46143</v>
      </c>
      <c r="B28" s="16" t="s">
        <v>166</v>
      </c>
      <c r="C28" s="16" t="s">
        <v>161</v>
      </c>
      <c r="D28" s="16" t="n">
        <v>29</v>
      </c>
      <c r="E28" s="16" t="n">
        <v>2</v>
      </c>
      <c r="F28" s="16" t="n">
        <v>1</v>
      </c>
      <c r="G28" s="16" t="s">
        <v>160</v>
      </c>
    </row>
    <row r="29" customFormat="false" ht="15" hidden="false" customHeight="false" outlineLevel="0" collapsed="false">
      <c r="A29" s="15" t="n">
        <v>46174</v>
      </c>
      <c r="B29" s="16" t="s">
        <v>167</v>
      </c>
      <c r="C29" s="16" t="s">
        <v>135</v>
      </c>
      <c r="D29" s="16" t="n">
        <v>39</v>
      </c>
      <c r="E29" s="16" t="n">
        <v>4</v>
      </c>
      <c r="F29" s="16" t="n">
        <v>0</v>
      </c>
      <c r="G29" s="16" t="s">
        <v>160</v>
      </c>
    </row>
    <row r="30" customFormat="false" ht="15" hidden="false" customHeight="false" outlineLevel="0" collapsed="false">
      <c r="A30" s="15" t="n">
        <v>46174</v>
      </c>
      <c r="B30" s="16" t="s">
        <v>167</v>
      </c>
      <c r="C30" s="16" t="s">
        <v>89</v>
      </c>
      <c r="D30" s="16" t="n">
        <v>57</v>
      </c>
      <c r="E30" s="16" t="n">
        <v>1</v>
      </c>
      <c r="F30" s="16" t="n">
        <v>0</v>
      </c>
      <c r="G30" s="16" t="s">
        <v>160</v>
      </c>
    </row>
    <row r="31" customFormat="false" ht="15" hidden="false" customHeight="false" outlineLevel="0" collapsed="false">
      <c r="A31" s="15" t="n">
        <v>46174</v>
      </c>
      <c r="B31" s="16" t="s">
        <v>167</v>
      </c>
      <c r="C31" s="16" t="s">
        <v>140</v>
      </c>
      <c r="D31" s="16" t="n">
        <v>20</v>
      </c>
      <c r="E31" s="16" t="n">
        <v>2</v>
      </c>
      <c r="F31" s="16" t="n">
        <v>1</v>
      </c>
      <c r="G31" s="16" t="s">
        <v>160</v>
      </c>
    </row>
    <row r="32" customFormat="false" ht="15" hidden="false" customHeight="false" outlineLevel="0" collapsed="false">
      <c r="A32" s="15" t="n">
        <v>46174</v>
      </c>
      <c r="B32" s="16" t="s">
        <v>167</v>
      </c>
      <c r="C32" s="16" t="s">
        <v>47</v>
      </c>
      <c r="D32" s="16" t="n">
        <v>142</v>
      </c>
      <c r="E32" s="16" t="n">
        <v>4</v>
      </c>
      <c r="F32" s="16" t="n">
        <v>0</v>
      </c>
      <c r="G32" s="16" t="s">
        <v>160</v>
      </c>
    </row>
    <row r="33" customFormat="false" ht="15" hidden="false" customHeight="false" outlineLevel="0" collapsed="false">
      <c r="A33" s="15" t="n">
        <v>46174</v>
      </c>
      <c r="B33" s="16" t="s">
        <v>167</v>
      </c>
      <c r="C33" s="16" t="s">
        <v>161</v>
      </c>
      <c r="D33" s="16" t="n">
        <v>22</v>
      </c>
      <c r="E33" s="16" t="n">
        <v>1</v>
      </c>
      <c r="F33" s="16" t="n">
        <v>0</v>
      </c>
      <c r="G33" s="16" t="s">
        <v>160</v>
      </c>
    </row>
    <row r="34" customFormat="false" ht="15" hidden="false" customHeight="false" outlineLevel="0" collapsed="false">
      <c r="A34" s="15" t="n">
        <v>46204</v>
      </c>
      <c r="B34" s="16" t="s">
        <v>168</v>
      </c>
      <c r="C34" s="16" t="s">
        <v>135</v>
      </c>
      <c r="D34" s="16" t="n">
        <v>34</v>
      </c>
      <c r="E34" s="16" t="n">
        <v>1</v>
      </c>
      <c r="F34" s="16" t="n">
        <v>0</v>
      </c>
      <c r="G34" s="16" t="s">
        <v>160</v>
      </c>
    </row>
    <row r="35" customFormat="false" ht="15" hidden="false" customHeight="false" outlineLevel="0" collapsed="false">
      <c r="A35" s="15" t="n">
        <v>46204</v>
      </c>
      <c r="B35" s="16" t="s">
        <v>168</v>
      </c>
      <c r="C35" s="16" t="s">
        <v>89</v>
      </c>
      <c r="D35" s="16" t="n">
        <v>56</v>
      </c>
      <c r="E35" s="16" t="n">
        <v>1</v>
      </c>
      <c r="F35" s="16" t="n">
        <v>0</v>
      </c>
      <c r="G35" s="16" t="s">
        <v>160</v>
      </c>
    </row>
    <row r="36" customFormat="false" ht="15" hidden="false" customHeight="false" outlineLevel="0" collapsed="false">
      <c r="A36" s="15" t="n">
        <v>46204</v>
      </c>
      <c r="B36" s="16" t="s">
        <v>168</v>
      </c>
      <c r="C36" s="16" t="s">
        <v>140</v>
      </c>
      <c r="D36" s="16" t="n">
        <v>15</v>
      </c>
      <c r="E36" s="16" t="n">
        <v>0</v>
      </c>
      <c r="F36" s="16" t="n">
        <v>0</v>
      </c>
      <c r="G36" s="16" t="s">
        <v>160</v>
      </c>
    </row>
    <row r="37" customFormat="false" ht="15" hidden="false" customHeight="false" outlineLevel="0" collapsed="false">
      <c r="A37" s="15" t="n">
        <v>46204</v>
      </c>
      <c r="B37" s="16" t="s">
        <v>168</v>
      </c>
      <c r="C37" s="16" t="s">
        <v>47</v>
      </c>
      <c r="D37" s="16" t="n">
        <v>109</v>
      </c>
      <c r="E37" s="16" t="n">
        <v>10</v>
      </c>
      <c r="F37" s="16" t="n">
        <v>2</v>
      </c>
      <c r="G37" s="16" t="s">
        <v>160</v>
      </c>
    </row>
    <row r="38" customFormat="false" ht="15" hidden="false" customHeight="false" outlineLevel="0" collapsed="false">
      <c r="A38" s="15" t="n">
        <v>46204</v>
      </c>
      <c r="B38" s="16" t="s">
        <v>168</v>
      </c>
      <c r="C38" s="16" t="s">
        <v>161</v>
      </c>
      <c r="D38" s="16" t="n">
        <v>36</v>
      </c>
      <c r="E38" s="16" t="n">
        <v>1</v>
      </c>
      <c r="F38" s="16" t="n">
        <v>0</v>
      </c>
      <c r="G38" s="16" t="s">
        <v>160</v>
      </c>
    </row>
    <row r="39" customFormat="false" ht="15" hidden="false" customHeight="false" outlineLevel="0" collapsed="false">
      <c r="A39" s="15" t="n">
        <v>46235</v>
      </c>
      <c r="B39" s="16" t="s">
        <v>169</v>
      </c>
      <c r="C39" s="16" t="s">
        <v>135</v>
      </c>
      <c r="D39" s="16" t="n">
        <v>17</v>
      </c>
      <c r="E39" s="17" t="n">
        <f aca="false">COUNTIFS(Interviews!$A$2:$A$25,"&gt;="&amp;A39,Interviews!$A$2:$A$25,"&lt;"&amp;EDATE(A39,1),Interviews!$B$2:$B$25,C39)</f>
        <v>0</v>
      </c>
      <c r="F39" s="17" t="n">
        <f aca="false">SUMIFS(Interviews!$I$2:$I$25,Interviews!$A$2:$A$25,"&gt;="&amp;A39,Interviews!$A$2:$A$25,"&lt;"&amp;EDATE(A39,1),Interviews!$B$2:$B$25,C39)</f>
        <v>0</v>
      </c>
      <c r="G39" s="16" t="s">
        <v>3</v>
      </c>
    </row>
    <row r="40" customFormat="false" ht="15" hidden="false" customHeight="false" outlineLevel="0" collapsed="false">
      <c r="A40" s="15" t="n">
        <v>46235</v>
      </c>
      <c r="B40" s="16" t="s">
        <v>169</v>
      </c>
      <c r="C40" s="16" t="s">
        <v>89</v>
      </c>
      <c r="D40" s="16" t="n">
        <v>36</v>
      </c>
      <c r="E40" s="17" t="n">
        <f aca="false">COUNTIFS(Interviews!$A$2:$A$25,"&gt;="&amp;A40,Interviews!$A$2:$A$25,"&lt;"&amp;EDATE(A40,1),Interviews!$B$2:$B$25,C40)</f>
        <v>0</v>
      </c>
      <c r="F40" s="17" t="n">
        <f aca="false">SUMIFS(Interviews!$I$2:$I$25,Interviews!$A$2:$A$25,"&gt;="&amp;A40,Interviews!$A$2:$A$25,"&lt;"&amp;EDATE(A40,1),Interviews!$B$2:$B$25,C40)</f>
        <v>0</v>
      </c>
      <c r="G40" s="16" t="s">
        <v>3</v>
      </c>
    </row>
    <row r="41" customFormat="false" ht="15" hidden="false" customHeight="false" outlineLevel="0" collapsed="false">
      <c r="A41" s="15" t="n">
        <v>46235</v>
      </c>
      <c r="B41" s="16" t="s">
        <v>169</v>
      </c>
      <c r="C41" s="16" t="s">
        <v>140</v>
      </c>
      <c r="D41" s="16" t="n">
        <v>12</v>
      </c>
      <c r="E41" s="17" t="n">
        <f aca="false">COUNTIFS(Interviews!$A$2:$A$25,"&gt;="&amp;A41,Interviews!$A$2:$A$25,"&lt;"&amp;EDATE(A41,1),Interviews!$B$2:$B$25,C41)</f>
        <v>0</v>
      </c>
      <c r="F41" s="17" t="n">
        <f aca="false">SUMIFS(Interviews!$I$2:$I$25,Interviews!$A$2:$A$25,"&gt;="&amp;A41,Interviews!$A$2:$A$25,"&lt;"&amp;EDATE(A41,1),Interviews!$B$2:$B$25,C41)</f>
        <v>0</v>
      </c>
      <c r="G41" s="16" t="s">
        <v>3</v>
      </c>
    </row>
    <row r="42" customFormat="false" ht="15" hidden="false" customHeight="false" outlineLevel="0" collapsed="false">
      <c r="A42" s="15" t="n">
        <v>46235</v>
      </c>
      <c r="B42" s="16" t="s">
        <v>169</v>
      </c>
      <c r="C42" s="16" t="s">
        <v>47</v>
      </c>
      <c r="D42" s="16" t="n">
        <v>105</v>
      </c>
      <c r="E42" s="17" t="n">
        <f aca="false">COUNTIFS(Interviews!$A$2:$A$25,"&gt;="&amp;A42,Interviews!$A$2:$A$25,"&lt;"&amp;EDATE(A42,1),Interviews!$B$2:$B$25,C42)</f>
        <v>9</v>
      </c>
      <c r="F42" s="17" t="n">
        <f aca="false">SUMIFS(Interviews!$I$2:$I$25,Interviews!$A$2:$A$25,"&gt;="&amp;A42,Interviews!$A$2:$A$25,"&lt;"&amp;EDATE(A42,1),Interviews!$B$2:$B$25,C42)</f>
        <v>0</v>
      </c>
      <c r="G42" s="16" t="s">
        <v>3</v>
      </c>
    </row>
    <row r="43" customFormat="false" ht="15" hidden="false" customHeight="false" outlineLevel="0" collapsed="false">
      <c r="A43" s="15" t="n">
        <v>46266</v>
      </c>
      <c r="B43" s="16" t="s">
        <v>170</v>
      </c>
      <c r="C43" s="16" t="s">
        <v>135</v>
      </c>
      <c r="D43" s="16" t="n">
        <v>14</v>
      </c>
      <c r="E43" s="17" t="n">
        <f aca="false">COUNTIFS(Interviews!$A$2:$A$25,"&gt;="&amp;A43,Interviews!$A$2:$A$25,"&lt;"&amp;EDATE(A43,1),Interviews!$B$2:$B$25,C43)</f>
        <v>0</v>
      </c>
      <c r="F43" s="17" t="n">
        <f aca="false">SUMIFS(Interviews!$I$2:$I$25,Interviews!$A$2:$A$25,"&gt;="&amp;A43,Interviews!$A$2:$A$25,"&lt;"&amp;EDATE(A43,1),Interviews!$B$2:$B$25,C43)</f>
        <v>0</v>
      </c>
      <c r="G43" s="16" t="s">
        <v>3</v>
      </c>
    </row>
    <row r="44" customFormat="false" ht="15" hidden="false" customHeight="false" outlineLevel="0" collapsed="false">
      <c r="A44" s="15" t="n">
        <v>46266</v>
      </c>
      <c r="B44" s="16" t="s">
        <v>170</v>
      </c>
      <c r="C44" s="16" t="s">
        <v>89</v>
      </c>
      <c r="D44" s="16" t="n">
        <v>36</v>
      </c>
      <c r="E44" s="17" t="n">
        <f aca="false">COUNTIFS(Interviews!$A$2:$A$25,"&gt;="&amp;A44,Interviews!$A$2:$A$25,"&lt;"&amp;EDATE(A44,1),Interviews!$B$2:$B$25,C44)</f>
        <v>2</v>
      </c>
      <c r="F44" s="17" t="n">
        <f aca="false">SUMIFS(Interviews!$I$2:$I$25,Interviews!$A$2:$A$25,"&gt;="&amp;A44,Interviews!$A$2:$A$25,"&lt;"&amp;EDATE(A44,1),Interviews!$B$2:$B$25,C44)</f>
        <v>1</v>
      </c>
      <c r="G44" s="16" t="s">
        <v>3</v>
      </c>
    </row>
    <row r="45" customFormat="false" ht="15" hidden="false" customHeight="false" outlineLevel="0" collapsed="false">
      <c r="A45" s="15" t="n">
        <v>46266</v>
      </c>
      <c r="B45" s="16" t="s">
        <v>170</v>
      </c>
      <c r="C45" s="16" t="s">
        <v>140</v>
      </c>
      <c r="D45" s="16" t="n">
        <v>21</v>
      </c>
      <c r="E45" s="17" t="n">
        <f aca="false">COUNTIFS(Interviews!$A$2:$A$25,"&gt;="&amp;A45,Interviews!$A$2:$A$25,"&lt;"&amp;EDATE(A45,1),Interviews!$B$2:$B$25,C45)</f>
        <v>0</v>
      </c>
      <c r="F45" s="17" t="n">
        <f aca="false">SUMIFS(Interviews!$I$2:$I$25,Interviews!$A$2:$A$25,"&gt;="&amp;A45,Interviews!$A$2:$A$25,"&lt;"&amp;EDATE(A45,1),Interviews!$B$2:$B$25,C45)</f>
        <v>0</v>
      </c>
      <c r="G45" s="16" t="s">
        <v>3</v>
      </c>
    </row>
    <row r="46" customFormat="false" ht="15" hidden="false" customHeight="false" outlineLevel="0" collapsed="false">
      <c r="A46" s="15" t="n">
        <v>46266</v>
      </c>
      <c r="B46" s="16" t="s">
        <v>170</v>
      </c>
      <c r="C46" s="16" t="s">
        <v>47</v>
      </c>
      <c r="D46" s="16" t="n">
        <v>108</v>
      </c>
      <c r="E46" s="17" t="n">
        <f aca="false">COUNTIFS(Interviews!$A$2:$A$25,"&gt;="&amp;A46,Interviews!$A$2:$A$25,"&lt;"&amp;EDATE(A46,1),Interviews!$B$2:$B$25,C46)</f>
        <v>7</v>
      </c>
      <c r="F46" s="17" t="n">
        <f aca="false">SUMIFS(Interviews!$I$2:$I$25,Interviews!$A$2:$A$25,"&gt;="&amp;A46,Interviews!$A$2:$A$25,"&lt;"&amp;EDATE(A46,1),Interviews!$B$2:$B$25,C46)</f>
        <v>0</v>
      </c>
      <c r="G46" s="16" t="s">
        <v>3</v>
      </c>
    </row>
    <row r="47" customFormat="false" ht="15" hidden="false" customHeight="false" outlineLevel="0" collapsed="false">
      <c r="A47" s="15" t="n">
        <v>46296</v>
      </c>
      <c r="B47" s="16" t="s">
        <v>171</v>
      </c>
      <c r="C47" s="16" t="s">
        <v>135</v>
      </c>
      <c r="D47" s="16" t="n">
        <v>10</v>
      </c>
      <c r="E47" s="17" t="n">
        <f aca="false">COUNTIFS(Interviews!$A$2:$A$25,"&gt;="&amp;A47,Interviews!$A$2:$A$25,"&lt;"&amp;EDATE(A47,1),Interviews!$B$2:$B$25,C47)</f>
        <v>1</v>
      </c>
      <c r="F47" s="17" t="n">
        <f aca="false">SUMIFS(Interviews!$I$2:$I$25,Interviews!$A$2:$A$25,"&gt;="&amp;A47,Interviews!$A$2:$A$25,"&lt;"&amp;EDATE(A47,1),Interviews!$B$2:$B$25,C47)</f>
        <v>0</v>
      </c>
      <c r="G47" s="16" t="s">
        <v>3</v>
      </c>
    </row>
    <row r="48" customFormat="false" ht="15" hidden="false" customHeight="false" outlineLevel="0" collapsed="false">
      <c r="A48" s="15" t="n">
        <v>46296</v>
      </c>
      <c r="B48" s="16" t="s">
        <v>171</v>
      </c>
      <c r="C48" s="16" t="s">
        <v>89</v>
      </c>
      <c r="D48" s="16" t="n">
        <v>32</v>
      </c>
      <c r="E48" s="17" t="n">
        <f aca="false">COUNTIFS(Interviews!$A$2:$A$25,"&gt;="&amp;A48,Interviews!$A$2:$A$25,"&lt;"&amp;EDATE(A48,1),Interviews!$B$2:$B$25,C48)</f>
        <v>1</v>
      </c>
      <c r="F48" s="17" t="n">
        <f aca="false">SUMIFS(Interviews!$I$2:$I$25,Interviews!$A$2:$A$25,"&gt;="&amp;A48,Interviews!$A$2:$A$25,"&lt;"&amp;EDATE(A48,1),Interviews!$B$2:$B$25,C48)</f>
        <v>0</v>
      </c>
      <c r="G48" s="16" t="s">
        <v>3</v>
      </c>
    </row>
    <row r="49" customFormat="false" ht="15" hidden="false" customHeight="false" outlineLevel="0" collapsed="false">
      <c r="A49" s="15" t="n">
        <v>46296</v>
      </c>
      <c r="B49" s="16" t="s">
        <v>171</v>
      </c>
      <c r="C49" s="16" t="s">
        <v>140</v>
      </c>
      <c r="D49" s="16" t="n">
        <v>15</v>
      </c>
      <c r="E49" s="17" t="n">
        <f aca="false">COUNTIFS(Interviews!$A$2:$A$25,"&gt;="&amp;A49,Interviews!$A$2:$A$25,"&lt;"&amp;EDATE(A49,1),Interviews!$B$2:$B$25,C49)</f>
        <v>1</v>
      </c>
      <c r="F49" s="17" t="n">
        <f aca="false">SUMIFS(Interviews!$I$2:$I$25,Interviews!$A$2:$A$25,"&gt;="&amp;A49,Interviews!$A$2:$A$25,"&lt;"&amp;EDATE(A49,1),Interviews!$B$2:$B$25,C49)</f>
        <v>0</v>
      </c>
      <c r="G49" s="16" t="s">
        <v>3</v>
      </c>
    </row>
    <row r="50" customFormat="false" ht="15" hidden="false" customHeight="false" outlineLevel="0" collapsed="false">
      <c r="A50" s="15" t="n">
        <v>46296</v>
      </c>
      <c r="B50" s="16" t="s">
        <v>171</v>
      </c>
      <c r="C50" s="16" t="s">
        <v>47</v>
      </c>
      <c r="D50" s="16" t="n">
        <v>75</v>
      </c>
      <c r="E50" s="17" t="n">
        <f aca="false">COUNTIFS(Interviews!$A$2:$A$25,"&gt;="&amp;A50,Interviews!$A$2:$A$25,"&lt;"&amp;EDATE(A50,1),Interviews!$B$2:$B$25,C50)</f>
        <v>3</v>
      </c>
      <c r="F50" s="17" t="n">
        <f aca="false">SUMIFS(Interviews!$I$2:$I$25,Interviews!$A$2:$A$25,"&gt;="&amp;A50,Interviews!$A$2:$A$25,"&lt;"&amp;EDATE(A50,1),Interviews!$B$2:$B$25,C50)</f>
        <v>0</v>
      </c>
      <c r="G50" s="16" t="s">
        <v>3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</row>
    <row r="52" customFormat="false" ht="15" hidden="false" customHeight="false" outlineLevel="0" collapsed="false">
      <c r="A52" s="3" t="s">
        <v>172</v>
      </c>
      <c r="B52" s="2"/>
      <c r="C52" s="2"/>
      <c r="D52" s="2"/>
      <c r="E52" s="2"/>
      <c r="F52" s="2"/>
      <c r="G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10" min="9" style="0" width="11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173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174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4" t="s">
        <v>156</v>
      </c>
      <c r="B4" s="4" t="s">
        <v>157</v>
      </c>
      <c r="C4" s="4" t="s">
        <v>24</v>
      </c>
      <c r="D4" s="4" t="s">
        <v>10</v>
      </c>
      <c r="E4" s="4" t="s">
        <v>11</v>
      </c>
      <c r="F4" s="4" t="s">
        <v>13</v>
      </c>
      <c r="G4" s="4" t="s">
        <v>15</v>
      </c>
      <c r="H4" s="4" t="s">
        <v>17</v>
      </c>
      <c r="I4" s="4" t="s">
        <v>175</v>
      </c>
      <c r="J4" s="4" t="s">
        <v>9</v>
      </c>
      <c r="K4" s="4" t="s">
        <v>158</v>
      </c>
    </row>
    <row r="5" customFormat="false" ht="15" hidden="false" customHeight="false" outlineLevel="0" collapsed="false">
      <c r="A5" s="15" t="n">
        <v>46023</v>
      </c>
      <c r="B5" s="2" t="str">
        <f aca="false">TEXT(A5,"mmm yyyy")</f>
        <v>Jan 2026</v>
      </c>
      <c r="C5" s="2" t="n">
        <f aca="false">SUMIFS(Data_Monthly!$D$2:$D$50,Data_Monthly!$A$2:$A$50,A5)</f>
        <v>335</v>
      </c>
      <c r="D5" s="2" t="n">
        <f aca="false">SUMIFS(Data_Monthly!$E$2:$E$50,Data_Monthly!$A$2:$A$50,A5)</f>
        <v>35</v>
      </c>
      <c r="E5" s="2" t="n">
        <f aca="false">SUMIFS(Data_Monthly!$F$2:$F$50,Data_Monthly!$A$2:$A$50,A5)</f>
        <v>6</v>
      </c>
      <c r="F5" s="11" t="n">
        <f aca="false">IFERROR(D5/C5,0)</f>
        <v>0.104477611940299</v>
      </c>
      <c r="G5" s="11" t="n">
        <f aca="false">IFERROR(E5/C5,0)</f>
        <v>0.017910447761194</v>
      </c>
      <c r="H5" s="11" t="n">
        <f aca="false">IFERROR(E5/D5,0)</f>
        <v>0.171428571428571</v>
      </c>
      <c r="I5" s="2" t="n">
        <f aca="false">DAY(EOMONTH(A5,0))</f>
        <v>31</v>
      </c>
      <c r="J5" s="9" t="n">
        <f aca="false">IFERROR(C5/I5,0)</f>
        <v>10.8064516129032</v>
      </c>
      <c r="K5" s="16" t="s">
        <v>160</v>
      </c>
    </row>
    <row r="6" customFormat="false" ht="15" hidden="false" customHeight="false" outlineLevel="0" collapsed="false">
      <c r="A6" s="15" t="n">
        <v>46054</v>
      </c>
      <c r="B6" s="2" t="str">
        <f aca="false">TEXT(A6,"mmm yyyy")</f>
        <v>Feb 2026</v>
      </c>
      <c r="C6" s="2" t="n">
        <f aca="false">SUMIFS(Data_Monthly!$D$2:$D$50,Data_Monthly!$A$2:$A$50,A6)</f>
        <v>358</v>
      </c>
      <c r="D6" s="2" t="n">
        <f aca="false">SUMIFS(Data_Monthly!$E$2:$E$50,Data_Monthly!$A$2:$A$50,A6)</f>
        <v>49</v>
      </c>
      <c r="E6" s="2" t="n">
        <f aca="false">SUMIFS(Data_Monthly!$F$2:$F$50,Data_Monthly!$A$2:$A$50,A6)</f>
        <v>5</v>
      </c>
      <c r="F6" s="11" t="n">
        <f aca="false">IFERROR(D6/C6,0)</f>
        <v>0.136871508379888</v>
      </c>
      <c r="G6" s="11" t="n">
        <f aca="false">IFERROR(E6/C6,0)</f>
        <v>0.0139664804469274</v>
      </c>
      <c r="H6" s="11" t="n">
        <f aca="false">IFERROR(E6/D6,0)</f>
        <v>0.102040816326531</v>
      </c>
      <c r="I6" s="2" t="n">
        <f aca="false">DAY(EOMONTH(A6,0))</f>
        <v>28</v>
      </c>
      <c r="J6" s="9" t="n">
        <f aca="false">IFERROR(C6/I6,0)</f>
        <v>12.7857142857143</v>
      </c>
      <c r="K6" s="16" t="s">
        <v>160</v>
      </c>
    </row>
    <row r="7" customFormat="false" ht="15" hidden="false" customHeight="false" outlineLevel="0" collapsed="false">
      <c r="A7" s="15" t="n">
        <v>46082</v>
      </c>
      <c r="B7" s="2" t="str">
        <f aca="false">TEXT(A7,"mmm yyyy")</f>
        <v>Mar 2026</v>
      </c>
      <c r="C7" s="2" t="n">
        <f aca="false">SUMIFS(Data_Monthly!$D$2:$D$50,Data_Monthly!$A$2:$A$50,A7)</f>
        <v>240</v>
      </c>
      <c r="D7" s="2" t="n">
        <f aca="false">SUMIFS(Data_Monthly!$E$2:$E$50,Data_Monthly!$A$2:$A$50,A7)</f>
        <v>12</v>
      </c>
      <c r="E7" s="2" t="n">
        <f aca="false">SUMIFS(Data_Monthly!$F$2:$F$50,Data_Monthly!$A$2:$A$50,A7)</f>
        <v>3</v>
      </c>
      <c r="F7" s="11" t="n">
        <f aca="false">IFERROR(D7/C7,0)</f>
        <v>0.05</v>
      </c>
      <c r="G7" s="11" t="n">
        <f aca="false">IFERROR(E7/C7,0)</f>
        <v>0.0125</v>
      </c>
      <c r="H7" s="11" t="n">
        <f aca="false">IFERROR(E7/D7,0)</f>
        <v>0.25</v>
      </c>
      <c r="I7" s="2" t="n">
        <f aca="false">DAY(EOMONTH(A7,0))</f>
        <v>31</v>
      </c>
      <c r="J7" s="9" t="n">
        <f aca="false">IFERROR(C7/I7,0)</f>
        <v>7.74193548387097</v>
      </c>
      <c r="K7" s="16" t="s">
        <v>160</v>
      </c>
    </row>
    <row r="8" customFormat="false" ht="15" hidden="false" customHeight="false" outlineLevel="0" collapsed="false">
      <c r="A8" s="15" t="n">
        <v>46113</v>
      </c>
      <c r="B8" s="2" t="str">
        <f aca="false">TEXT(A8,"mmm yyyy")</f>
        <v>Apr 2026</v>
      </c>
      <c r="C8" s="2" t="n">
        <f aca="false">SUMIFS(Data_Monthly!$D$2:$D$50,Data_Monthly!$A$2:$A$50,A8)</f>
        <v>321</v>
      </c>
      <c r="D8" s="2" t="n">
        <f aca="false">SUMIFS(Data_Monthly!$E$2:$E$50,Data_Monthly!$A$2:$A$50,A8)</f>
        <v>14</v>
      </c>
      <c r="E8" s="2" t="n">
        <f aca="false">SUMIFS(Data_Monthly!$F$2:$F$50,Data_Monthly!$A$2:$A$50,A8)</f>
        <v>1</v>
      </c>
      <c r="F8" s="11" t="n">
        <f aca="false">IFERROR(D8/C8,0)</f>
        <v>0.043613707165109</v>
      </c>
      <c r="G8" s="11" t="n">
        <f aca="false">IFERROR(E8/C8,0)</f>
        <v>0.00311526479750779</v>
      </c>
      <c r="H8" s="11" t="n">
        <f aca="false">IFERROR(E8/D8,0)</f>
        <v>0.0714285714285714</v>
      </c>
      <c r="I8" s="2" t="n">
        <f aca="false">DAY(EOMONTH(A8,0))</f>
        <v>30</v>
      </c>
      <c r="J8" s="9" t="n">
        <f aca="false">IFERROR(C8/I8,0)</f>
        <v>10.7</v>
      </c>
      <c r="K8" s="16" t="s">
        <v>160</v>
      </c>
    </row>
    <row r="9" customFormat="false" ht="15" hidden="false" customHeight="false" outlineLevel="0" collapsed="false">
      <c r="A9" s="15" t="n">
        <v>46143</v>
      </c>
      <c r="B9" s="2" t="str">
        <f aca="false">TEXT(A9,"mmm yyyy")</f>
        <v>May 2026</v>
      </c>
      <c r="C9" s="2" t="n">
        <f aca="false">SUMIFS(Data_Monthly!$D$2:$D$50,Data_Monthly!$A$2:$A$50,A9)</f>
        <v>318</v>
      </c>
      <c r="D9" s="2" t="n">
        <f aca="false">SUMIFS(Data_Monthly!$E$2:$E$50,Data_Monthly!$A$2:$A$50,A9)</f>
        <v>23</v>
      </c>
      <c r="E9" s="2" t="n">
        <f aca="false">SUMIFS(Data_Monthly!$F$2:$F$50,Data_Monthly!$A$2:$A$50,A9)</f>
        <v>7</v>
      </c>
      <c r="F9" s="11" t="n">
        <f aca="false">IFERROR(D9/C9,0)</f>
        <v>0.0723270440251572</v>
      </c>
      <c r="G9" s="11" t="n">
        <f aca="false">IFERROR(E9/C9,0)</f>
        <v>0.0220125786163522</v>
      </c>
      <c r="H9" s="11" t="n">
        <f aca="false">IFERROR(E9/D9,0)</f>
        <v>0.304347826086957</v>
      </c>
      <c r="I9" s="2" t="n">
        <f aca="false">DAY(EOMONTH(A9,0))</f>
        <v>31</v>
      </c>
      <c r="J9" s="9" t="n">
        <f aca="false">IFERROR(C9/I9,0)</f>
        <v>10.258064516129</v>
      </c>
      <c r="K9" s="16" t="s">
        <v>160</v>
      </c>
    </row>
    <row r="10" customFormat="false" ht="15" hidden="false" customHeight="false" outlineLevel="0" collapsed="false">
      <c r="A10" s="15" t="n">
        <v>46174</v>
      </c>
      <c r="B10" s="2" t="str">
        <f aca="false">TEXT(A10,"mmm yyyy")</f>
        <v>Jun 2026</v>
      </c>
      <c r="C10" s="2" t="n">
        <f aca="false">SUMIFS(Data_Monthly!$D$2:$D$50,Data_Monthly!$A$2:$A$50,A10)</f>
        <v>280</v>
      </c>
      <c r="D10" s="2" t="n">
        <f aca="false">SUMIFS(Data_Monthly!$E$2:$E$50,Data_Monthly!$A$2:$A$50,A10)</f>
        <v>12</v>
      </c>
      <c r="E10" s="2" t="n">
        <f aca="false">SUMIFS(Data_Monthly!$F$2:$F$50,Data_Monthly!$A$2:$A$50,A10)</f>
        <v>1</v>
      </c>
      <c r="F10" s="11" t="n">
        <f aca="false">IFERROR(D10/C10,0)</f>
        <v>0.0428571428571429</v>
      </c>
      <c r="G10" s="11" t="n">
        <f aca="false">IFERROR(E10/C10,0)</f>
        <v>0.00357142857142857</v>
      </c>
      <c r="H10" s="11" t="n">
        <f aca="false">IFERROR(E10/D10,0)</f>
        <v>0.0833333333333333</v>
      </c>
      <c r="I10" s="2" t="n">
        <f aca="false">DAY(EOMONTH(A10,0))</f>
        <v>30</v>
      </c>
      <c r="J10" s="9" t="n">
        <f aca="false">IFERROR(C10/I10,0)</f>
        <v>9.33333333333333</v>
      </c>
      <c r="K10" s="16" t="s">
        <v>160</v>
      </c>
    </row>
    <row r="11" customFormat="false" ht="15" hidden="false" customHeight="false" outlineLevel="0" collapsed="false">
      <c r="A11" s="15" t="n">
        <v>46204</v>
      </c>
      <c r="B11" s="2" t="str">
        <f aca="false">TEXT(A11,"mmm yyyy")</f>
        <v>Jul 2026</v>
      </c>
      <c r="C11" s="2" t="n">
        <f aca="false">SUMIFS(Data_Monthly!$D$2:$D$50,Data_Monthly!$A$2:$A$50,A11)</f>
        <v>250</v>
      </c>
      <c r="D11" s="2" t="n">
        <f aca="false">SUMIFS(Data_Monthly!$E$2:$E$50,Data_Monthly!$A$2:$A$50,A11)</f>
        <v>13</v>
      </c>
      <c r="E11" s="2" t="n">
        <f aca="false">SUMIFS(Data_Monthly!$F$2:$F$50,Data_Monthly!$A$2:$A$50,A11)</f>
        <v>2</v>
      </c>
      <c r="F11" s="11" t="n">
        <f aca="false">IFERROR(D11/C11,0)</f>
        <v>0.052</v>
      </c>
      <c r="G11" s="11" t="n">
        <f aca="false">IFERROR(E11/C11,0)</f>
        <v>0.008</v>
      </c>
      <c r="H11" s="11" t="n">
        <f aca="false">IFERROR(E11/D11,0)</f>
        <v>0.153846153846154</v>
      </c>
      <c r="I11" s="2" t="n">
        <f aca="false">DAY(EOMONTH(A11,0))</f>
        <v>31</v>
      </c>
      <c r="J11" s="9" t="n">
        <f aca="false">IFERROR(C11/I11,0)</f>
        <v>8.06451612903226</v>
      </c>
      <c r="K11" s="16" t="s">
        <v>160</v>
      </c>
    </row>
    <row r="12" customFormat="false" ht="15" hidden="false" customHeight="false" outlineLevel="0" collapsed="false">
      <c r="A12" s="15" t="n">
        <v>46235</v>
      </c>
      <c r="B12" s="2" t="str">
        <f aca="false">TEXT(A12,"mmm yyyy")</f>
        <v>Aug 2026</v>
      </c>
      <c r="C12" s="2" t="n">
        <f aca="false">SUMIFS(Data_Monthly!$D$2:$D$50,Data_Monthly!$A$2:$A$50,A12)</f>
        <v>170</v>
      </c>
      <c r="D12" s="2" t="n">
        <f aca="false">SUMIFS(Data_Monthly!$E$2:$E$50,Data_Monthly!$A$2:$A$50,A12)</f>
        <v>9</v>
      </c>
      <c r="E12" s="2" t="n">
        <f aca="false">SUMIFS(Data_Monthly!$F$2:$F$50,Data_Monthly!$A$2:$A$50,A12)</f>
        <v>0</v>
      </c>
      <c r="F12" s="11" t="n">
        <f aca="false">IFERROR(D12/C12,0)</f>
        <v>0.0529411764705882</v>
      </c>
      <c r="G12" s="11" t="n">
        <f aca="false">IFERROR(E12/C12,0)</f>
        <v>0</v>
      </c>
      <c r="H12" s="11" t="n">
        <f aca="false">IFERROR(E12/D12,0)</f>
        <v>0</v>
      </c>
      <c r="I12" s="2" t="n">
        <f aca="false">DAY(EOMONTH(A12,0))</f>
        <v>31</v>
      </c>
      <c r="J12" s="9" t="n">
        <f aca="false">IFERROR(C12/I12,0)</f>
        <v>5.48387096774194</v>
      </c>
      <c r="K12" s="16" t="s">
        <v>3</v>
      </c>
    </row>
    <row r="13" customFormat="false" ht="15" hidden="false" customHeight="false" outlineLevel="0" collapsed="false">
      <c r="A13" s="15" t="n">
        <v>46266</v>
      </c>
      <c r="B13" s="2" t="str">
        <f aca="false">TEXT(A13,"mmm yyyy")</f>
        <v>Sep 2026</v>
      </c>
      <c r="C13" s="2" t="n">
        <f aca="false">SUMIFS(Data_Monthly!$D$2:$D$50,Data_Monthly!$A$2:$A$50,A13)</f>
        <v>179</v>
      </c>
      <c r="D13" s="2" t="n">
        <f aca="false">SUMIFS(Data_Monthly!$E$2:$E$50,Data_Monthly!$A$2:$A$50,A13)</f>
        <v>9</v>
      </c>
      <c r="E13" s="2" t="n">
        <f aca="false">SUMIFS(Data_Monthly!$F$2:$F$50,Data_Monthly!$A$2:$A$50,A13)</f>
        <v>1</v>
      </c>
      <c r="F13" s="11" t="n">
        <f aca="false">IFERROR(D13/C13,0)</f>
        <v>0.0502793296089386</v>
      </c>
      <c r="G13" s="11" t="n">
        <f aca="false">IFERROR(E13/C13,0)</f>
        <v>0.00558659217877095</v>
      </c>
      <c r="H13" s="11" t="n">
        <f aca="false">IFERROR(E13/D13,0)</f>
        <v>0.111111111111111</v>
      </c>
      <c r="I13" s="2" t="n">
        <f aca="false">DAY(EOMONTH(A13,0))</f>
        <v>30</v>
      </c>
      <c r="J13" s="9" t="n">
        <f aca="false">IFERROR(C13/I13,0)</f>
        <v>5.96666666666667</v>
      </c>
      <c r="K13" s="16" t="s">
        <v>3</v>
      </c>
    </row>
    <row r="14" customFormat="false" ht="15" hidden="false" customHeight="false" outlineLevel="0" collapsed="false">
      <c r="A14" s="15" t="n">
        <v>46296</v>
      </c>
      <c r="B14" s="2" t="str">
        <f aca="false">TEXT(A14,"mmm yyyy")</f>
        <v>Oct 2026</v>
      </c>
      <c r="C14" s="2" t="n">
        <f aca="false">SUMIFS(Data_Monthly!$D$2:$D$50,Data_Monthly!$A$2:$A$50,A14)</f>
        <v>132</v>
      </c>
      <c r="D14" s="2" t="n">
        <f aca="false">SUMIFS(Data_Monthly!$E$2:$E$50,Data_Monthly!$A$2:$A$50,A14)</f>
        <v>6</v>
      </c>
      <c r="E14" s="2" t="n">
        <f aca="false">SUMIFS(Data_Monthly!$F$2:$F$50,Data_Monthly!$A$2:$A$50,A14)</f>
        <v>0</v>
      </c>
      <c r="F14" s="11" t="n">
        <f aca="false">IFERROR(D14/C14,0)</f>
        <v>0.0454545454545455</v>
      </c>
      <c r="G14" s="11" t="n">
        <f aca="false">IFERROR(E14/C14,0)</f>
        <v>0</v>
      </c>
      <c r="H14" s="11" t="n">
        <f aca="false">IFERROR(E14/D14,0)</f>
        <v>0</v>
      </c>
      <c r="I14" s="16" t="n">
        <v>20</v>
      </c>
      <c r="J14" s="9" t="n">
        <f aca="false">IFERROR(C14/I14,0)</f>
        <v>6.6</v>
      </c>
      <c r="K14" s="16" t="s">
        <v>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20"/>
      <c r="B16" s="19" t="s">
        <v>160</v>
      </c>
      <c r="C16" s="19" t="n">
        <f aca="false">SUM(C5:C11)</f>
        <v>2102</v>
      </c>
      <c r="D16" s="19" t="n">
        <f aca="false">SUM(D5:D11)</f>
        <v>158</v>
      </c>
      <c r="E16" s="19" t="n">
        <f aca="false">SUM(E5:E11)</f>
        <v>25</v>
      </c>
      <c r="F16" s="22" t="n">
        <f aca="false">IFERROR(D16/C16,0)</f>
        <v>0.0751665080875357</v>
      </c>
      <c r="G16" s="22" t="n">
        <f aca="false">IFERROR(E16/C16,0)</f>
        <v>0.0118934348239772</v>
      </c>
      <c r="H16" s="22" t="n">
        <f aca="false">IFERROR(E16/D16,0)</f>
        <v>0.158227848101266</v>
      </c>
      <c r="I16" s="19" t="n">
        <f aca="false">SUM(I5:I11)</f>
        <v>212</v>
      </c>
      <c r="J16" s="23" t="n">
        <f aca="false">IFERROR(C16/I16,0)</f>
        <v>9.91509433962264</v>
      </c>
      <c r="K16" s="20"/>
    </row>
    <row r="17" customFormat="false" ht="15" hidden="false" customHeight="false" outlineLevel="0" collapsed="false">
      <c r="A17" s="20"/>
      <c r="B17" s="19" t="s">
        <v>176</v>
      </c>
      <c r="C17" s="19" t="n">
        <f aca="false">SUM(C12:C14)</f>
        <v>481</v>
      </c>
      <c r="D17" s="19" t="n">
        <f aca="false">SUM(D12:D14)</f>
        <v>24</v>
      </c>
      <c r="E17" s="19" t="n">
        <f aca="false">SUM(E12:E14)</f>
        <v>1</v>
      </c>
      <c r="F17" s="22" t="n">
        <f aca="false">IFERROR(D17/C17,0)</f>
        <v>0.0498960498960499</v>
      </c>
      <c r="G17" s="22" t="n">
        <f aca="false">IFERROR(E17/C17,0)</f>
        <v>0.00207900207900208</v>
      </c>
      <c r="H17" s="22" t="n">
        <f aca="false">IFERROR(E17/D17,0)</f>
        <v>0.0416666666666667</v>
      </c>
      <c r="I17" s="19" t="n">
        <f aca="false">SUM(I12:I14)</f>
        <v>81</v>
      </c>
      <c r="J17" s="23" t="n">
        <f aca="false">IFERROR(C17/I17,0)</f>
        <v>5.93827160493827</v>
      </c>
      <c r="K17" s="20"/>
    </row>
    <row r="18" customFormat="false" ht="15" hidden="false" customHeight="false" outlineLevel="0" collapsed="false">
      <c r="A18" s="20"/>
      <c r="B18" s="19" t="s">
        <v>177</v>
      </c>
      <c r="C18" s="19" t="n">
        <f aca="false">SUM(C7:C11)</f>
        <v>1409</v>
      </c>
      <c r="D18" s="19" t="n">
        <f aca="false">SUM(D7:D11)</f>
        <v>74</v>
      </c>
      <c r="E18" s="19" t="n">
        <f aca="false">SUM(E7:E11)</f>
        <v>14</v>
      </c>
      <c r="F18" s="22" t="n">
        <f aca="false">IFERROR(D18/C18,0)</f>
        <v>0.0525195173882186</v>
      </c>
      <c r="G18" s="22" t="n">
        <f aca="false">IFERROR(E18/C18,0)</f>
        <v>0.0099361249112846</v>
      </c>
      <c r="H18" s="22" t="n">
        <f aca="false">IFERROR(E18/D18,0)</f>
        <v>0.189189189189189</v>
      </c>
      <c r="I18" s="19" t="n">
        <f aca="false">SUM(I7:I11)</f>
        <v>153</v>
      </c>
      <c r="J18" s="23" t="n">
        <f aca="false">IFERROR(C18/I18,0)</f>
        <v>9.20915032679739</v>
      </c>
      <c r="K18" s="20"/>
    </row>
    <row r="19" customFormat="false" ht="15" hidden="false" customHeight="false" outlineLevel="0" collapsed="false">
      <c r="A19" s="2"/>
      <c r="B19" s="5" t="s">
        <v>178</v>
      </c>
      <c r="C19" s="2"/>
      <c r="D19" s="2"/>
      <c r="E19" s="2"/>
      <c r="F19" s="12" t="n">
        <f aca="false">F17-F16</f>
        <v>-0.0252704581914858</v>
      </c>
      <c r="G19" s="12" t="n">
        <f aca="false">G17-G16</f>
        <v>-0.00981443274497509</v>
      </c>
      <c r="H19" s="12" t="n">
        <f aca="false">H17-H16</f>
        <v>-0.116561181434599</v>
      </c>
      <c r="I19" s="2"/>
      <c r="J19" s="10" t="n">
        <f aca="false">J17-J16</f>
        <v>-3.97682273468437</v>
      </c>
      <c r="K19" s="3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6" min="15" style="0" width="12"/>
  </cols>
  <sheetData>
    <row r="1" customFormat="false" ht="17.35" hidden="false" customHeight="false" outlineLevel="0" collapsed="false">
      <c r="A1" s="1" t="s">
        <v>180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31.5" hidden="false" customHeight="true" outlineLevel="0" collapsed="false">
      <c r="A4" s="4" t="s">
        <v>36</v>
      </c>
      <c r="B4" s="4" t="s">
        <v>24</v>
      </c>
      <c r="C4" s="4" t="s">
        <v>182</v>
      </c>
      <c r="D4" s="4" t="s">
        <v>10</v>
      </c>
      <c r="E4" s="4" t="s">
        <v>11</v>
      </c>
      <c r="F4" s="4" t="s">
        <v>13</v>
      </c>
      <c r="G4" s="4" t="s">
        <v>15</v>
      </c>
      <c r="H4" s="4" t="s">
        <v>17</v>
      </c>
      <c r="I4" s="4" t="s">
        <v>183</v>
      </c>
      <c r="J4" s="4" t="s">
        <v>184</v>
      </c>
      <c r="K4" s="4" t="s">
        <v>25</v>
      </c>
      <c r="L4" s="4" t="s">
        <v>185</v>
      </c>
      <c r="M4" s="4" t="s">
        <v>186</v>
      </c>
      <c r="N4" s="4" t="s">
        <v>187</v>
      </c>
      <c r="O4" s="4" t="s">
        <v>188</v>
      </c>
      <c r="P4" s="4" t="s">
        <v>189</v>
      </c>
    </row>
    <row r="5" customFormat="false" ht="15" hidden="false" customHeight="false" outlineLevel="0" collapsed="false">
      <c r="A5" s="16" t="s">
        <v>47</v>
      </c>
      <c r="B5" s="2" t="n">
        <f aca="false">SUMIFS(Data_Monthly!$D$2:$D$50,Data_Monthly!$C$2:$C$50,A5,Data_Monthly!$A$2:$A$50,"&gt;="&amp;DATE(2026,8,1))</f>
        <v>288</v>
      </c>
      <c r="C5" s="11" t="n">
        <f aca="false">IFERROR(B5/$B$9,0)</f>
        <v>0.598752598752599</v>
      </c>
      <c r="D5" s="2" t="n">
        <f aca="false">COUNTIFS(Interviews!$B$2:$B$25,A5)</f>
        <v>19</v>
      </c>
      <c r="E5" s="2" t="n">
        <f aca="false">SUMIFS(Interviews!$I$2:$I$25,Interviews!$B$2:$B$25,A5)</f>
        <v>0</v>
      </c>
      <c r="F5" s="11" t="n">
        <f aca="false">IFERROR(D5/B5,0)</f>
        <v>0.0659722222222222</v>
      </c>
      <c r="G5" s="11" t="n">
        <f aca="false">IFERROR(E5/B5,0)</f>
        <v>0</v>
      </c>
      <c r="H5" s="11" t="n">
        <f aca="false">IFERROR(E5/D5,0)</f>
        <v>0</v>
      </c>
      <c r="I5" s="16" t="n">
        <v>285</v>
      </c>
      <c r="J5" s="2" t="n">
        <f aca="false">COUNTIFS(Interviews!$B$2:$B$25,A5,Interviews!$C$2:$C$25,"Alex")</f>
        <v>16</v>
      </c>
      <c r="K5" s="11" t="n">
        <f aca="false">IFERROR(J5/I5,0)</f>
        <v>0.056140350877193</v>
      </c>
      <c r="L5" s="2" t="n">
        <f aca="false">SUMIFS(Data_Monthly!$D$2:$D$50,Data_Monthly!$C$2:$C$50,A5,Data_Monthly!$A$2:$A$50,"&lt;"&amp;DATE(2026,8,1))</f>
        <v>938</v>
      </c>
      <c r="M5" s="2" t="n">
        <f aca="false">SUMIFS(Data_Monthly!$E$2:$E$50,Data_Monthly!$C$2:$C$50,A5,Data_Monthly!$A$2:$A$50,"&lt;"&amp;DATE(2026,8,1))</f>
        <v>77</v>
      </c>
      <c r="N5" s="11" t="n">
        <f aca="false">IFERROR(M5/L5,0)</f>
        <v>0.082089552238806</v>
      </c>
      <c r="O5" s="12" t="n">
        <f aca="false">F5-N5</f>
        <v>-0.0161173300165837</v>
      </c>
      <c r="P5" s="2" t="n">
        <f aca="false">RANK(K5,$K$5:$K$8,0)</f>
        <v>1</v>
      </c>
    </row>
    <row r="6" customFormat="false" ht="15" hidden="false" customHeight="false" outlineLevel="0" collapsed="false">
      <c r="A6" s="16" t="s">
        <v>89</v>
      </c>
      <c r="B6" s="2" t="n">
        <f aca="false">SUMIFS(Data_Monthly!$D$2:$D$50,Data_Monthly!$C$2:$C$50,A6,Data_Monthly!$A$2:$A$50,"&gt;="&amp;DATE(2026,8,1))</f>
        <v>104</v>
      </c>
      <c r="C6" s="11" t="n">
        <f aca="false">IFERROR(B6/$B$9,0)</f>
        <v>0.216216216216216</v>
      </c>
      <c r="D6" s="2" t="n">
        <f aca="false">COUNTIFS(Interviews!$B$2:$B$25,A6)</f>
        <v>3</v>
      </c>
      <c r="E6" s="2" t="n">
        <f aca="false">SUMIFS(Interviews!$I$2:$I$25,Interviews!$B$2:$B$25,A6)</f>
        <v>1</v>
      </c>
      <c r="F6" s="11" t="n">
        <f aca="false">IFERROR(D6/B6,0)</f>
        <v>0.0288461538461538</v>
      </c>
      <c r="G6" s="11" t="n">
        <f aca="false">IFERROR(E6/B6,0)</f>
        <v>0.00961538461538462</v>
      </c>
      <c r="H6" s="11" t="n">
        <f aca="false">IFERROR(E6/D6,0)</f>
        <v>0.333333333333333</v>
      </c>
      <c r="I6" s="16" t="n">
        <v>103</v>
      </c>
      <c r="J6" s="2" t="n">
        <f aca="false">COUNTIFS(Interviews!$B$2:$B$25,A6,Interviews!$C$2:$C$25,"Alex")</f>
        <v>2</v>
      </c>
      <c r="K6" s="11" t="n">
        <f aca="false">IFERROR(J6/I6,0)</f>
        <v>0.0194174757281553</v>
      </c>
      <c r="L6" s="2" t="n">
        <f aca="false">SUMIFS(Data_Monthly!$D$2:$D$50,Data_Monthly!$C$2:$C$50,A6,Data_Monthly!$A$2:$A$50,"&lt;"&amp;DATE(2026,8,1))</f>
        <v>549</v>
      </c>
      <c r="M6" s="2" t="n">
        <f aca="false">SUMIFS(Data_Monthly!$E$2:$E$50,Data_Monthly!$C$2:$C$50,A6,Data_Monthly!$A$2:$A$50,"&lt;"&amp;DATE(2026,8,1))</f>
        <v>39</v>
      </c>
      <c r="N6" s="11" t="n">
        <f aca="false">IFERROR(M6/L6,0)</f>
        <v>0.0710382513661202</v>
      </c>
      <c r="O6" s="12" t="n">
        <f aca="false">F6-N6</f>
        <v>-0.0421920975199664</v>
      </c>
      <c r="P6" s="2" t="n">
        <f aca="false">RANK(K6,$K$5:$K$8,0)</f>
        <v>3</v>
      </c>
    </row>
    <row r="7" customFormat="false" ht="15" hidden="false" customHeight="false" outlineLevel="0" collapsed="false">
      <c r="A7" s="16" t="s">
        <v>140</v>
      </c>
      <c r="B7" s="2" t="n">
        <f aca="false">SUMIFS(Data_Monthly!$D$2:$D$50,Data_Monthly!$C$2:$C$50,A7,Data_Monthly!$A$2:$A$50,"&gt;="&amp;DATE(2026,8,1))</f>
        <v>48</v>
      </c>
      <c r="C7" s="11" t="n">
        <f aca="false">IFERROR(B7/$B$9,0)</f>
        <v>0.0997920997920998</v>
      </c>
      <c r="D7" s="2" t="n">
        <f aca="false">COUNTIFS(Interviews!$B$2:$B$25,A7)</f>
        <v>1</v>
      </c>
      <c r="E7" s="2" t="n">
        <f aca="false">SUMIFS(Interviews!$I$2:$I$25,Interviews!$B$2:$B$25,A7)</f>
        <v>0</v>
      </c>
      <c r="F7" s="11" t="n">
        <f aca="false">IFERROR(D7/B7,0)</f>
        <v>0.0208333333333333</v>
      </c>
      <c r="G7" s="11" t="n">
        <f aca="false">IFERROR(E7/B7,0)</f>
        <v>0</v>
      </c>
      <c r="H7" s="11" t="n">
        <f aca="false">IFERROR(E7/D7,0)</f>
        <v>0</v>
      </c>
      <c r="I7" s="16" t="n">
        <v>47</v>
      </c>
      <c r="J7" s="2" t="n">
        <f aca="false">COUNTIFS(Interviews!$B$2:$B$25,A7,Interviews!$C$2:$C$25,"Alex")</f>
        <v>0</v>
      </c>
      <c r="K7" s="11" t="n">
        <f aca="false">IFERROR(J7/I7,0)</f>
        <v>0</v>
      </c>
      <c r="L7" s="2" t="n">
        <f aca="false">SUMIFS(Data_Monthly!$D$2:$D$50,Data_Monthly!$C$2:$C$50,A7,Data_Monthly!$A$2:$A$50,"&lt;"&amp;DATE(2026,8,1))</f>
        <v>246</v>
      </c>
      <c r="M7" s="2" t="n">
        <f aca="false">SUMIFS(Data_Monthly!$E$2:$E$50,Data_Monthly!$C$2:$C$50,A7,Data_Monthly!$A$2:$A$50,"&lt;"&amp;DATE(2026,8,1))</f>
        <v>13</v>
      </c>
      <c r="N7" s="11" t="n">
        <f aca="false">IFERROR(M7/L7,0)</f>
        <v>0.0528455284552846</v>
      </c>
      <c r="O7" s="12" t="n">
        <f aca="false">F7-N7</f>
        <v>-0.0320121951219512</v>
      </c>
      <c r="P7" s="2" t="n">
        <f aca="false">RANK(K7,$K$5:$K$8,0)</f>
        <v>4</v>
      </c>
    </row>
    <row r="8" customFormat="false" ht="15" hidden="false" customHeight="false" outlineLevel="0" collapsed="false">
      <c r="A8" s="16" t="s">
        <v>135</v>
      </c>
      <c r="B8" s="2" t="n">
        <f aca="false">SUMIFS(Data_Monthly!$D$2:$D$50,Data_Monthly!$C$2:$C$50,A8,Data_Monthly!$A$2:$A$50,"&gt;="&amp;DATE(2026,8,1))</f>
        <v>41</v>
      </c>
      <c r="C8" s="11" t="n">
        <f aca="false">IFERROR(B8/$B$9,0)</f>
        <v>0.0852390852390852</v>
      </c>
      <c r="D8" s="2" t="n">
        <f aca="false">COUNTIFS(Interviews!$B$2:$B$25,A8)</f>
        <v>1</v>
      </c>
      <c r="E8" s="2" t="n">
        <f aca="false">SUMIFS(Interviews!$I$2:$I$25,Interviews!$B$2:$B$25,A8)</f>
        <v>0</v>
      </c>
      <c r="F8" s="11" t="n">
        <f aca="false">IFERROR(D8/B8,0)</f>
        <v>0.024390243902439</v>
      </c>
      <c r="G8" s="11" t="n">
        <f aca="false">IFERROR(E8/B8,0)</f>
        <v>0</v>
      </c>
      <c r="H8" s="11" t="n">
        <f aca="false">IFERROR(E8/D8,0)</f>
        <v>0</v>
      </c>
      <c r="I8" s="16" t="n">
        <v>41</v>
      </c>
      <c r="J8" s="2" t="n">
        <f aca="false">COUNTIFS(Interviews!$B$2:$B$25,A8,Interviews!$C$2:$C$25,"Alex")</f>
        <v>1</v>
      </c>
      <c r="K8" s="11" t="n">
        <f aca="false">IFERROR(J8/I8,0)</f>
        <v>0.024390243902439</v>
      </c>
      <c r="L8" s="2" t="n">
        <f aca="false">SUMIFS(Data_Monthly!$D$2:$D$50,Data_Monthly!$C$2:$C$50,A8,Data_Monthly!$A$2:$A$50,"&lt;"&amp;DATE(2026,8,1))</f>
        <v>268</v>
      </c>
      <c r="M8" s="2" t="n">
        <f aca="false">SUMIFS(Data_Monthly!$E$2:$E$50,Data_Monthly!$C$2:$C$50,A8,Data_Monthly!$A$2:$A$50,"&lt;"&amp;DATE(2026,8,1))</f>
        <v>23</v>
      </c>
      <c r="N8" s="11" t="n">
        <f aca="false">IFERROR(M8/L8,0)</f>
        <v>0.0858208955223881</v>
      </c>
      <c r="O8" s="12" t="n">
        <f aca="false">F8-N8</f>
        <v>-0.061430651619949</v>
      </c>
      <c r="P8" s="2" t="n">
        <f aca="false">RANK(K8,$K$5:$K$8,0)</f>
        <v>2</v>
      </c>
    </row>
    <row r="9" customFormat="false" ht="15" hidden="false" customHeight="false" outlineLevel="0" collapsed="false">
      <c r="A9" s="19" t="s">
        <v>154</v>
      </c>
      <c r="B9" s="19" t="n">
        <f aca="false">SUM(B5:B8)</f>
        <v>481</v>
      </c>
      <c r="C9" s="22" t="n">
        <f aca="false">SUM(C5:C8)</f>
        <v>1</v>
      </c>
      <c r="D9" s="19" t="n">
        <f aca="false">SUM(D5:D8)</f>
        <v>24</v>
      </c>
      <c r="E9" s="19" t="n">
        <f aca="false">SUM(E5:E8)</f>
        <v>1</v>
      </c>
      <c r="F9" s="22" t="n">
        <f aca="false">IFERROR(D9/B9,0)</f>
        <v>0.0498960498960499</v>
      </c>
      <c r="G9" s="22" t="n">
        <f aca="false">IFERROR(E9/B9,0)</f>
        <v>0.00207900207900208</v>
      </c>
      <c r="H9" s="22" t="n">
        <f aca="false">IFERROR(E9/D9,0)</f>
        <v>0.0416666666666667</v>
      </c>
      <c r="I9" s="19" t="n">
        <f aca="false">SUM(I5:I8)</f>
        <v>476</v>
      </c>
      <c r="J9" s="19" t="n">
        <f aca="false">SUM(J5:J8)</f>
        <v>19</v>
      </c>
      <c r="K9" s="22" t="n">
        <f aca="false">IFERROR(J9/I9,0)</f>
        <v>0.0399159663865546</v>
      </c>
      <c r="L9" s="19" t="n">
        <f aca="false">SUMIFS(Data_Monthly!$D$2:$D$50,Data_Monthly!$A$2:$A$50,"&lt;"&amp;DATE(2026,8,1))</f>
        <v>2102</v>
      </c>
      <c r="M9" s="19" t="n">
        <f aca="false">SUMIFS(Data_Monthly!$E$2:$E$50,Data_Monthly!$A$2:$A$50,"&lt;"&amp;DATE(2026,8,1))</f>
        <v>158</v>
      </c>
      <c r="N9" s="22" t="n">
        <f aca="false">IFERROR(M9/L9,0)</f>
        <v>0.0751665080875357</v>
      </c>
      <c r="O9" s="24" t="n">
        <f aca="false">F9-N9</f>
        <v>-0.0252704581914858</v>
      </c>
      <c r="P9" s="20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3" t="s">
        <v>190</v>
      </c>
      <c r="B11" s="2"/>
      <c r="C11" s="2"/>
      <c r="D11" s="2" t="n">
        <f aca="false">Interviews!D26</f>
        <v>24</v>
      </c>
      <c r="E11" s="2" t="str">
        <f aca="false">IF(D11=D9,"OK","MISMATCH")</f>
        <v>OK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3" t="s">
        <v>191</v>
      </c>
      <c r="B12" s="2"/>
      <c r="C12" s="2"/>
      <c r="D12" s="2" t="n">
        <f aca="false">B9-I9</f>
        <v>5</v>
      </c>
      <c r="E12" s="2" t="str">
        <f aca="false">IF(D12=COUNTIFS(Interviews!$C$2:$C$25,"&lt;&gt;Alex"),"OK","MISMATCH")</f>
        <v>OK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5" t="s">
        <v>26</v>
      </c>
      <c r="B14" s="2" t="str">
        <f aca="false">INDEX($A$5:$A$8,MATCH(MAX($B$5:$B$8),$B$5:$B$8,0))</f>
        <v>Yulia</v>
      </c>
      <c r="C14" s="2" t="n">
        <f aca="false">MAX(B5:B8)</f>
        <v>288</v>
      </c>
      <c r="D14" s="2" t="s">
        <v>192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5" t="s">
        <v>27</v>
      </c>
      <c r="B15" s="2" t="str">
        <f aca="false">INDEX($A$5:$A$8,MATCH(MAX($K$5:$K$8),$K$5:$K$8,0))</f>
        <v>Yulia</v>
      </c>
      <c r="C15" s="11" t="n">
        <f aca="false">MAX(K5:K8)</f>
        <v>0.056140350877193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5" t="s">
        <v>193</v>
      </c>
      <c r="B16" s="2" t="str">
        <f aca="false">INDEX($A$5:$A$8,MATCH(MAX($G$5:$G$8),$G$5:$G$8,0))</f>
        <v>Polina</v>
      </c>
      <c r="C16" s="25" t="n">
        <f aca="false">MAX(G5:G8)</f>
        <v>0.00961538461538462</v>
      </c>
      <c r="D16" s="3" t="s">
        <v>194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3"/>
  </cols>
  <sheetData>
    <row r="1" customFormat="false" ht="17.35" hidden="false" customHeight="false" outlineLevel="0" collapsed="false">
      <c r="A1" s="1" t="s">
        <v>195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1.5" hidden="false" customHeight="true" outlineLevel="0" collapsed="false">
      <c r="A3" s="4" t="s">
        <v>196</v>
      </c>
      <c r="B3" s="4" t="s">
        <v>197</v>
      </c>
      <c r="C3" s="4" t="s">
        <v>198</v>
      </c>
      <c r="D3" s="4" t="s">
        <v>199</v>
      </c>
      <c r="E3" s="4" t="s">
        <v>200</v>
      </c>
      <c r="F3" s="4" t="s">
        <v>201</v>
      </c>
      <c r="G3" s="4" t="s">
        <v>10</v>
      </c>
      <c r="H3" s="4" t="s">
        <v>11</v>
      </c>
      <c r="I3" s="4" t="s">
        <v>13</v>
      </c>
      <c r="J3" s="4" t="s">
        <v>202</v>
      </c>
      <c r="K3" s="4" t="s">
        <v>203</v>
      </c>
      <c r="L3" s="4" t="s">
        <v>204</v>
      </c>
    </row>
    <row r="4" customFormat="false" ht="15" hidden="false" customHeight="false" outlineLevel="0" collapsed="false">
      <c r="A4" s="15" t="n">
        <v>46230</v>
      </c>
      <c r="B4" s="16" t="n">
        <v>2</v>
      </c>
      <c r="C4" s="16" t="n">
        <v>3</v>
      </c>
      <c r="D4" s="16" t="n">
        <v>2</v>
      </c>
      <c r="E4" s="16" t="n">
        <v>5</v>
      </c>
      <c r="F4" s="2" t="n">
        <f aca="false">SUM(B4:E4)</f>
        <v>12</v>
      </c>
      <c r="G4" s="2" t="n">
        <f aca="false">COUNTIFS(Interviews!$A$2:$A$25,"&gt;="&amp;A4,Interviews!$A$2:$A$25,"&lt;"&amp;(A4+7))</f>
        <v>1</v>
      </c>
      <c r="H4" s="2" t="n">
        <f aca="false">SUMIFS(Interviews!$I$2:$I$25,Interviews!$A$2:$A$25,"&gt;="&amp;A4,Interviews!$A$2:$A$25,"&lt;"&amp;(A4+7))</f>
        <v>0</v>
      </c>
      <c r="I4" s="11" t="n">
        <f aca="false">IFERROR(G4/F4,0)</f>
        <v>0.0833333333333333</v>
      </c>
      <c r="J4" s="2"/>
      <c r="K4" s="2" t="n">
        <f aca="false">COUNTIFS(Interviews!$A$2:$A$25,"&gt;="&amp;A4,Interviews!$A$2:$A$25,"&lt;"&amp;(A4+7),Interviews!$B$2:$B$25,"Yulia")</f>
        <v>1</v>
      </c>
      <c r="L4" s="2" t="n">
        <f aca="false">G4-K4</f>
        <v>0</v>
      </c>
    </row>
    <row r="5" customFormat="false" ht="15" hidden="false" customHeight="false" outlineLevel="0" collapsed="false">
      <c r="A5" s="15" t="n">
        <v>46237</v>
      </c>
      <c r="B5" s="16" t="n">
        <v>5</v>
      </c>
      <c r="C5" s="16" t="n">
        <v>4</v>
      </c>
      <c r="D5" s="16" t="n">
        <v>3</v>
      </c>
      <c r="E5" s="16" t="n">
        <v>24</v>
      </c>
      <c r="F5" s="2" t="n">
        <f aca="false">SUM(B5:E5)</f>
        <v>36</v>
      </c>
      <c r="G5" s="2" t="n">
        <f aca="false">COUNTIFS(Interviews!$A$2:$A$25,"&gt;="&amp;A5,Interviews!$A$2:$A$25,"&lt;"&amp;(A5+7))</f>
        <v>3</v>
      </c>
      <c r="H5" s="2" t="n">
        <f aca="false">SUMIFS(Interviews!$I$2:$I$25,Interviews!$A$2:$A$25,"&gt;="&amp;A5,Interviews!$A$2:$A$25,"&lt;"&amp;(A5+7))</f>
        <v>0</v>
      </c>
      <c r="I5" s="11" t="n">
        <f aca="false">IFERROR(G5/F5,0)</f>
        <v>0.0833333333333333</v>
      </c>
      <c r="J5" s="2"/>
      <c r="K5" s="2" t="n">
        <f aca="false">COUNTIFS(Interviews!$A$2:$A$25,"&gt;="&amp;A5,Interviews!$A$2:$A$25,"&lt;"&amp;(A5+7),Interviews!$B$2:$B$25,"Yulia")</f>
        <v>3</v>
      </c>
      <c r="L5" s="2" t="n">
        <f aca="false">G5-K5</f>
        <v>0</v>
      </c>
    </row>
    <row r="6" customFormat="false" ht="15" hidden="false" customHeight="false" outlineLevel="0" collapsed="false">
      <c r="A6" s="15" t="n">
        <v>46244</v>
      </c>
      <c r="B6" s="16" t="n">
        <v>3</v>
      </c>
      <c r="C6" s="16" t="n">
        <v>11</v>
      </c>
      <c r="D6" s="16" t="n">
        <v>3</v>
      </c>
      <c r="E6" s="16" t="n">
        <v>25</v>
      </c>
      <c r="F6" s="2" t="n">
        <f aca="false">SUM(B6:E6)</f>
        <v>42</v>
      </c>
      <c r="G6" s="2" t="n">
        <f aca="false">COUNTIFS(Interviews!$A$2:$A$25,"&gt;="&amp;A6,Interviews!$A$2:$A$25,"&lt;"&amp;(A6+7))</f>
        <v>1</v>
      </c>
      <c r="H6" s="2" t="n">
        <f aca="false">SUMIFS(Interviews!$I$2:$I$25,Interviews!$A$2:$A$25,"&gt;="&amp;A6,Interviews!$A$2:$A$25,"&lt;"&amp;(A6+7))</f>
        <v>0</v>
      </c>
      <c r="I6" s="11" t="n">
        <f aca="false">IFERROR(G6/F6,0)</f>
        <v>0.0238095238095238</v>
      </c>
      <c r="J6" s="2"/>
      <c r="K6" s="2" t="n">
        <f aca="false">COUNTIFS(Interviews!$A$2:$A$25,"&gt;="&amp;A6,Interviews!$A$2:$A$25,"&lt;"&amp;(A6+7),Interviews!$B$2:$B$25,"Yulia")</f>
        <v>1</v>
      </c>
      <c r="L6" s="2" t="n">
        <f aca="false">G6-K6</f>
        <v>0</v>
      </c>
    </row>
    <row r="7" customFormat="false" ht="15" hidden="false" customHeight="false" outlineLevel="0" collapsed="false">
      <c r="A7" s="15" t="n">
        <v>46251</v>
      </c>
      <c r="B7" s="16" t="n">
        <v>3</v>
      </c>
      <c r="C7" s="16" t="n">
        <v>9</v>
      </c>
      <c r="D7" s="16" t="n">
        <v>1</v>
      </c>
      <c r="E7" s="16" t="n">
        <v>21</v>
      </c>
      <c r="F7" s="2" t="n">
        <f aca="false">SUM(B7:E7)</f>
        <v>34</v>
      </c>
      <c r="G7" s="2" t="n">
        <f aca="false">COUNTIFS(Interviews!$A$2:$A$25,"&gt;="&amp;A7,Interviews!$A$2:$A$25,"&lt;"&amp;(A7+7))</f>
        <v>4</v>
      </c>
      <c r="H7" s="2" t="n">
        <f aca="false">SUMIFS(Interviews!$I$2:$I$25,Interviews!$A$2:$A$25,"&gt;="&amp;A7,Interviews!$A$2:$A$25,"&lt;"&amp;(A7+7))</f>
        <v>0</v>
      </c>
      <c r="I7" s="11" t="n">
        <f aca="false">IFERROR(G7/F7,0)</f>
        <v>0.117647058823529</v>
      </c>
      <c r="J7" s="11" t="n">
        <f aca="false">IFERROR(SUM(G4:G7)/SUM(F4:F7),0)</f>
        <v>0.0725806451612903</v>
      </c>
      <c r="K7" s="2" t="n">
        <f aca="false">COUNTIFS(Interviews!$A$2:$A$25,"&gt;="&amp;A7,Interviews!$A$2:$A$25,"&lt;"&amp;(A7+7),Interviews!$B$2:$B$25,"Yulia")</f>
        <v>4</v>
      </c>
      <c r="L7" s="2" t="n">
        <f aca="false">G7-K7</f>
        <v>0</v>
      </c>
    </row>
    <row r="8" customFormat="false" ht="15" hidden="false" customHeight="false" outlineLevel="0" collapsed="false">
      <c r="A8" s="15" t="n">
        <v>46258</v>
      </c>
      <c r="B8" s="16" t="n">
        <v>4</v>
      </c>
      <c r="C8" s="16" t="n">
        <v>8</v>
      </c>
      <c r="D8" s="16" t="n">
        <v>3</v>
      </c>
      <c r="E8" s="16" t="n">
        <v>24</v>
      </c>
      <c r="F8" s="2" t="n">
        <f aca="false">SUM(B8:E8)</f>
        <v>39</v>
      </c>
      <c r="G8" s="2" t="n">
        <f aca="false">COUNTIFS(Interviews!$A$2:$A$25,"&gt;="&amp;A8,Interviews!$A$2:$A$25,"&lt;"&amp;(A8+7))</f>
        <v>0</v>
      </c>
      <c r="H8" s="2" t="n">
        <f aca="false">SUMIFS(Interviews!$I$2:$I$25,Interviews!$A$2:$A$25,"&gt;="&amp;A8,Interviews!$A$2:$A$25,"&lt;"&amp;(A8+7))</f>
        <v>0</v>
      </c>
      <c r="I8" s="11" t="n">
        <f aca="false">IFERROR(G8/F8,0)</f>
        <v>0</v>
      </c>
      <c r="J8" s="11" t="n">
        <f aca="false">IFERROR(SUM(G5:G8)/SUM(F5:F8),0)</f>
        <v>0.0529801324503311</v>
      </c>
      <c r="K8" s="2" t="n">
        <f aca="false">COUNTIFS(Interviews!$A$2:$A$25,"&gt;="&amp;A8,Interviews!$A$2:$A$25,"&lt;"&amp;(A8+7),Interviews!$B$2:$B$25,"Yulia")</f>
        <v>0</v>
      </c>
      <c r="L8" s="2" t="n">
        <f aca="false">G8-K8</f>
        <v>0</v>
      </c>
    </row>
    <row r="9" customFormat="false" ht="15" hidden="false" customHeight="false" outlineLevel="0" collapsed="false">
      <c r="A9" s="15" t="n">
        <v>46265</v>
      </c>
      <c r="B9" s="16" t="n">
        <v>4</v>
      </c>
      <c r="C9" s="16" t="n">
        <v>6</v>
      </c>
      <c r="D9" s="16" t="n">
        <v>4</v>
      </c>
      <c r="E9" s="16" t="n">
        <v>25</v>
      </c>
      <c r="F9" s="2" t="n">
        <f aca="false">SUM(B9:E9)</f>
        <v>39</v>
      </c>
      <c r="G9" s="2" t="n">
        <f aca="false">COUNTIFS(Interviews!$A$2:$A$25,"&gt;="&amp;A9,Interviews!$A$2:$A$25,"&lt;"&amp;(A9+7))</f>
        <v>2</v>
      </c>
      <c r="H9" s="2" t="n">
        <f aca="false">SUMIFS(Interviews!$I$2:$I$25,Interviews!$A$2:$A$25,"&gt;="&amp;A9,Interviews!$A$2:$A$25,"&lt;"&amp;(A9+7))</f>
        <v>1</v>
      </c>
      <c r="I9" s="11" t="n">
        <f aca="false">IFERROR(G9/F9,0)</f>
        <v>0.0512820512820513</v>
      </c>
      <c r="J9" s="11" t="n">
        <f aca="false">IFERROR(SUM(G6:G9)/SUM(F6:F9),0)</f>
        <v>0.0454545454545455</v>
      </c>
      <c r="K9" s="2" t="n">
        <f aca="false">COUNTIFS(Interviews!$A$2:$A$25,"&gt;="&amp;A9,Interviews!$A$2:$A$25,"&lt;"&amp;(A9+7),Interviews!$B$2:$B$25,"Yulia")</f>
        <v>1</v>
      </c>
      <c r="L9" s="2" t="n">
        <f aca="false">G9-K9</f>
        <v>1</v>
      </c>
    </row>
    <row r="10" customFormat="false" ht="15" hidden="false" customHeight="false" outlineLevel="0" collapsed="false">
      <c r="A10" s="15" t="n">
        <v>46272</v>
      </c>
      <c r="B10" s="16" t="n">
        <v>3</v>
      </c>
      <c r="C10" s="16" t="n">
        <v>12</v>
      </c>
      <c r="D10" s="16" t="n">
        <v>4</v>
      </c>
      <c r="E10" s="16" t="n">
        <v>23</v>
      </c>
      <c r="F10" s="2" t="n">
        <f aca="false">SUM(B10:E10)</f>
        <v>42</v>
      </c>
      <c r="G10" s="2" t="n">
        <f aca="false">COUNTIFS(Interviews!$A$2:$A$25,"&gt;="&amp;A10,Interviews!$A$2:$A$25,"&lt;"&amp;(A10+7))</f>
        <v>1</v>
      </c>
      <c r="H10" s="2" t="n">
        <f aca="false">SUMIFS(Interviews!$I$2:$I$25,Interviews!$A$2:$A$25,"&gt;="&amp;A10,Interviews!$A$2:$A$25,"&lt;"&amp;(A10+7))</f>
        <v>0</v>
      </c>
      <c r="I10" s="11" t="n">
        <f aca="false">IFERROR(G10/F10,0)</f>
        <v>0.0238095238095238</v>
      </c>
      <c r="J10" s="11" t="n">
        <f aca="false">IFERROR(SUM(G7:G10)/SUM(F7:F10),0)</f>
        <v>0.0454545454545455</v>
      </c>
      <c r="K10" s="2" t="n">
        <f aca="false">COUNTIFS(Interviews!$A$2:$A$25,"&gt;="&amp;A10,Interviews!$A$2:$A$25,"&lt;"&amp;(A10+7),Interviews!$B$2:$B$25,"Yulia")</f>
        <v>0</v>
      </c>
      <c r="L10" s="2" t="n">
        <f aca="false">G10-K10</f>
        <v>1</v>
      </c>
    </row>
    <row r="11" customFormat="false" ht="15" hidden="false" customHeight="false" outlineLevel="0" collapsed="false">
      <c r="A11" s="15" t="n">
        <v>46279</v>
      </c>
      <c r="B11" s="16" t="n">
        <v>1</v>
      </c>
      <c r="C11" s="16" t="n">
        <v>9</v>
      </c>
      <c r="D11" s="16" t="n">
        <v>4</v>
      </c>
      <c r="E11" s="16" t="n">
        <v>30</v>
      </c>
      <c r="F11" s="2" t="n">
        <f aca="false">SUM(B11:E11)</f>
        <v>44</v>
      </c>
      <c r="G11" s="2" t="n">
        <f aca="false">COUNTIFS(Interviews!$A$2:$A$25,"&gt;="&amp;A11,Interviews!$A$2:$A$25,"&lt;"&amp;(A11+7))</f>
        <v>2</v>
      </c>
      <c r="H11" s="2" t="n">
        <f aca="false">SUMIFS(Interviews!$I$2:$I$25,Interviews!$A$2:$A$25,"&gt;="&amp;A11,Interviews!$A$2:$A$25,"&lt;"&amp;(A11+7))</f>
        <v>0</v>
      </c>
      <c r="I11" s="11" t="n">
        <f aca="false">IFERROR(G11/F11,0)</f>
        <v>0.0454545454545455</v>
      </c>
      <c r="J11" s="11" t="n">
        <f aca="false">IFERROR(SUM(G8:G11)/SUM(F8:F11),0)</f>
        <v>0.0304878048780488</v>
      </c>
      <c r="K11" s="2" t="n">
        <f aca="false">COUNTIFS(Interviews!$A$2:$A$25,"&gt;="&amp;A11,Interviews!$A$2:$A$25,"&lt;"&amp;(A11+7),Interviews!$B$2:$B$25,"Yulia")</f>
        <v>2</v>
      </c>
      <c r="L11" s="2" t="n">
        <f aca="false">G11-K11</f>
        <v>0</v>
      </c>
    </row>
    <row r="12" customFormat="false" ht="15" hidden="false" customHeight="false" outlineLevel="0" collapsed="false">
      <c r="A12" s="15" t="n">
        <v>46286</v>
      </c>
      <c r="B12" s="16" t="n">
        <v>4</v>
      </c>
      <c r="C12" s="16" t="n">
        <v>8</v>
      </c>
      <c r="D12" s="16" t="n">
        <v>8</v>
      </c>
      <c r="E12" s="16" t="n">
        <v>21</v>
      </c>
      <c r="F12" s="2" t="n">
        <f aca="false">SUM(B12:E12)</f>
        <v>41</v>
      </c>
      <c r="G12" s="2" t="n">
        <f aca="false">COUNTIFS(Interviews!$A$2:$A$25,"&gt;="&amp;A12,Interviews!$A$2:$A$25,"&lt;"&amp;(A12+7))</f>
        <v>2</v>
      </c>
      <c r="H12" s="2" t="n">
        <f aca="false">SUMIFS(Interviews!$I$2:$I$25,Interviews!$A$2:$A$25,"&gt;="&amp;A12,Interviews!$A$2:$A$25,"&lt;"&amp;(A12+7))</f>
        <v>0</v>
      </c>
      <c r="I12" s="11" t="n">
        <f aca="false">IFERROR(G12/F12,0)</f>
        <v>0.0487804878048781</v>
      </c>
      <c r="J12" s="11" t="n">
        <f aca="false">IFERROR(SUM(G9:G12)/SUM(F9:F12),0)</f>
        <v>0.0421686746987952</v>
      </c>
      <c r="K12" s="2" t="n">
        <f aca="false">COUNTIFS(Interviews!$A$2:$A$25,"&gt;="&amp;A12,Interviews!$A$2:$A$25,"&lt;"&amp;(A12+7),Interviews!$B$2:$B$25,"Yulia")</f>
        <v>2</v>
      </c>
      <c r="L12" s="2" t="n">
        <f aca="false">G12-K12</f>
        <v>0</v>
      </c>
    </row>
    <row r="13" customFormat="false" ht="15" hidden="false" customHeight="false" outlineLevel="0" collapsed="false">
      <c r="A13" s="15" t="n">
        <v>46293</v>
      </c>
      <c r="B13" s="16" t="n">
        <v>6</v>
      </c>
      <c r="C13" s="16" t="n">
        <v>7</v>
      </c>
      <c r="D13" s="16" t="n">
        <v>5</v>
      </c>
      <c r="E13" s="16" t="n">
        <v>33</v>
      </c>
      <c r="F13" s="2" t="n">
        <f aca="false">SUM(B13:E13)</f>
        <v>51</v>
      </c>
      <c r="G13" s="2" t="n">
        <f aca="false">COUNTIFS(Interviews!$A$2:$A$25,"&gt;="&amp;A13,Interviews!$A$2:$A$25,"&lt;"&amp;(A13+7))</f>
        <v>5</v>
      </c>
      <c r="H13" s="2" t="n">
        <f aca="false">SUMIFS(Interviews!$I$2:$I$25,Interviews!$A$2:$A$25,"&gt;="&amp;A13,Interviews!$A$2:$A$25,"&lt;"&amp;(A13+7))</f>
        <v>0</v>
      </c>
      <c r="I13" s="11" t="n">
        <f aca="false">IFERROR(G13/F13,0)</f>
        <v>0.0980392156862745</v>
      </c>
      <c r="J13" s="11" t="n">
        <f aca="false">IFERROR(SUM(G10:G13)/SUM(F10:F13),0)</f>
        <v>0.0561797752808989</v>
      </c>
      <c r="K13" s="2" t="n">
        <f aca="false">COUNTIFS(Interviews!$A$2:$A$25,"&gt;="&amp;A13,Interviews!$A$2:$A$25,"&lt;"&amp;(A13+7),Interviews!$B$2:$B$25,"Yulia")</f>
        <v>4</v>
      </c>
      <c r="L13" s="2" t="n">
        <f aca="false">G13-K13</f>
        <v>1</v>
      </c>
    </row>
    <row r="14" customFormat="false" ht="15" hidden="false" customHeight="false" outlineLevel="0" collapsed="false">
      <c r="A14" s="15" t="n">
        <v>46300</v>
      </c>
      <c r="B14" s="16" t="n">
        <v>3</v>
      </c>
      <c r="C14" s="16" t="n">
        <v>15</v>
      </c>
      <c r="D14" s="16" t="n">
        <v>5</v>
      </c>
      <c r="E14" s="16" t="n">
        <v>26</v>
      </c>
      <c r="F14" s="2" t="n">
        <f aca="false">SUM(B14:E14)</f>
        <v>49</v>
      </c>
      <c r="G14" s="2" t="n">
        <f aca="false">COUNTIFS(Interviews!$A$2:$A$25,"&gt;="&amp;A14,Interviews!$A$2:$A$25,"&lt;"&amp;(A14+7))</f>
        <v>0</v>
      </c>
      <c r="H14" s="2" t="n">
        <f aca="false">SUMIFS(Interviews!$I$2:$I$25,Interviews!$A$2:$A$25,"&gt;="&amp;A14,Interviews!$A$2:$A$25,"&lt;"&amp;(A14+7))</f>
        <v>0</v>
      </c>
      <c r="I14" s="11" t="n">
        <f aca="false">IFERROR(G14/F14,0)</f>
        <v>0</v>
      </c>
      <c r="J14" s="11" t="n">
        <f aca="false">IFERROR(SUM(G11:G14)/SUM(F11:F14),0)</f>
        <v>0.0486486486486487</v>
      </c>
      <c r="K14" s="2" t="n">
        <f aca="false">COUNTIFS(Interviews!$A$2:$A$25,"&gt;="&amp;A14,Interviews!$A$2:$A$25,"&lt;"&amp;(A14+7),Interviews!$B$2:$B$25,"Yulia")</f>
        <v>0</v>
      </c>
      <c r="L14" s="2" t="n">
        <f aca="false">G14-K14</f>
        <v>0</v>
      </c>
    </row>
    <row r="15" customFormat="false" ht="15" hidden="false" customHeight="false" outlineLevel="0" collapsed="false">
      <c r="A15" s="15" t="n">
        <v>46307</v>
      </c>
      <c r="B15" s="16" t="n">
        <v>2</v>
      </c>
      <c r="C15" s="16" t="n">
        <v>9</v>
      </c>
      <c r="D15" s="16" t="n">
        <v>6</v>
      </c>
      <c r="E15" s="16" t="n">
        <v>25</v>
      </c>
      <c r="F15" s="2" t="n">
        <f aca="false">SUM(B15:E15)</f>
        <v>42</v>
      </c>
      <c r="G15" s="2" t="n">
        <f aca="false">COUNTIFS(Interviews!$A$2:$A$25,"&gt;="&amp;A15,Interviews!$A$2:$A$25,"&lt;"&amp;(A15+7))</f>
        <v>2</v>
      </c>
      <c r="H15" s="2" t="n">
        <f aca="false">SUMIFS(Interviews!$I$2:$I$25,Interviews!$A$2:$A$25,"&gt;="&amp;A15,Interviews!$A$2:$A$25,"&lt;"&amp;(A15+7))</f>
        <v>0</v>
      </c>
      <c r="I15" s="11" t="n">
        <f aca="false">IFERROR(G15/F15,0)</f>
        <v>0.0476190476190476</v>
      </c>
      <c r="J15" s="11" t="n">
        <f aca="false">IFERROR(SUM(G12:G15)/SUM(F12:F15),0)</f>
        <v>0.0491803278688525</v>
      </c>
      <c r="K15" s="2" t="n">
        <f aca="false">COUNTIFS(Interviews!$A$2:$A$25,"&gt;="&amp;A15,Interviews!$A$2:$A$25,"&lt;"&amp;(A15+7),Interviews!$B$2:$B$25,"Yulia")</f>
        <v>1</v>
      </c>
      <c r="L15" s="2" t="n">
        <f aca="false">G15-K15</f>
        <v>1</v>
      </c>
    </row>
    <row r="16" customFormat="false" ht="15" hidden="false" customHeight="false" outlineLevel="0" collapsed="false">
      <c r="A16" s="15" t="n">
        <v>46314</v>
      </c>
      <c r="B16" s="16" t="n">
        <v>1</v>
      </c>
      <c r="C16" s="16" t="n">
        <v>3</v>
      </c>
      <c r="D16" s="16" t="n">
        <v>0</v>
      </c>
      <c r="E16" s="16" t="n">
        <v>6</v>
      </c>
      <c r="F16" s="2" t="n">
        <f aca="false">SUM(B16:E16)</f>
        <v>10</v>
      </c>
      <c r="G16" s="2" t="n">
        <f aca="false">COUNTIFS(Interviews!$A$2:$A$25,"&gt;="&amp;A16,Interviews!$A$2:$A$25,"&lt;"&amp;(A16+7))</f>
        <v>1</v>
      </c>
      <c r="H16" s="2" t="n">
        <f aca="false">SUMIFS(Interviews!$I$2:$I$25,Interviews!$A$2:$A$25,"&gt;="&amp;A16,Interviews!$A$2:$A$25,"&lt;"&amp;(A16+7))</f>
        <v>0</v>
      </c>
      <c r="I16" s="11" t="n">
        <f aca="false">IFERROR(G16/F16,0)</f>
        <v>0.1</v>
      </c>
      <c r="J16" s="11" t="n">
        <f aca="false">IFERROR(SUM(G13:G16)/SUM(F13:F16),0)</f>
        <v>0.0526315789473684</v>
      </c>
      <c r="K16" s="2" t="n">
        <f aca="false">COUNTIFS(Interviews!$A$2:$A$25,"&gt;="&amp;A16,Interviews!$A$2:$A$25,"&lt;"&amp;(A16+7),Interviews!$B$2:$B$25,"Yulia")</f>
        <v>0</v>
      </c>
      <c r="L16" s="2" t="n">
        <f aca="false">G16-K16</f>
        <v>1</v>
      </c>
    </row>
    <row r="17" customFormat="false" ht="15" hidden="false" customHeight="false" outlineLevel="0" collapsed="false">
      <c r="A17" s="19" t="s">
        <v>154</v>
      </c>
      <c r="B17" s="19" t="n">
        <f aca="false">SUM(B4:B16)</f>
        <v>41</v>
      </c>
      <c r="C17" s="19" t="n">
        <f aca="false">SUM(C4:C16)</f>
        <v>104</v>
      </c>
      <c r="D17" s="19" t="n">
        <f aca="false">SUM(D4:D16)</f>
        <v>48</v>
      </c>
      <c r="E17" s="19" t="n">
        <f aca="false">SUM(E4:E16)</f>
        <v>288</v>
      </c>
      <c r="F17" s="19" t="n">
        <f aca="false">SUM(F4:F16)</f>
        <v>481</v>
      </c>
      <c r="G17" s="19" t="n">
        <f aca="false">SUM(G4:G16)</f>
        <v>24</v>
      </c>
      <c r="H17" s="19" t="n">
        <f aca="false">SUM(H4:H16)</f>
        <v>1</v>
      </c>
      <c r="I17" s="22" t="n">
        <f aca="false">IFERROR(G17/F17,0)</f>
        <v>0.0498960498960499</v>
      </c>
      <c r="J17" s="20"/>
      <c r="K17" s="19" t="n">
        <f aca="false">SUM(K4:K16)</f>
        <v>19</v>
      </c>
      <c r="L17" s="19" t="n">
        <f aca="false">SUM(L4:L16)</f>
        <v>5</v>
      </c>
    </row>
    <row r="18" customFormat="false" ht="15" hidden="false" customHeight="false" outlineLevel="0" collapsed="false">
      <c r="A18" s="3" t="s">
        <v>205</v>
      </c>
      <c r="B18" s="2"/>
      <c r="C18" s="2"/>
      <c r="D18" s="2"/>
      <c r="E18" s="2"/>
      <c r="F18" s="2" t="str">
        <f aca="false">IF(F17='By Profile'!B9,"OK","MISMATCH")</f>
        <v>OK</v>
      </c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3" t="s">
        <v>206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26" t="s">
        <v>207</v>
      </c>
    </row>
    <row r="2" customFormat="false" ht="15" hidden="false" customHeight="false" outlineLevel="0" collapsed="false">
      <c r="A2" s="27" t="s">
        <v>208</v>
      </c>
    </row>
    <row r="3" customFormat="false" ht="15" hidden="false" customHeight="false" outlineLevel="0" collapsed="false">
      <c r="A3" s="27" t="s">
        <v>209</v>
      </c>
    </row>
    <row r="4" customFormat="false" ht="15" hidden="false" customHeight="false" outlineLevel="0" collapsed="false">
      <c r="A4" s="27" t="s">
        <v>210</v>
      </c>
    </row>
    <row r="5" customFormat="false" ht="26.85" hidden="false" customHeight="false" outlineLevel="0" collapsed="false">
      <c r="A5" s="27" t="s">
        <v>211</v>
      </c>
    </row>
    <row r="6" customFormat="false" ht="26.85" hidden="false" customHeight="false" outlineLevel="0" collapsed="false">
      <c r="A6" s="27" t="s">
        <v>212</v>
      </c>
    </row>
    <row r="7" customFormat="false" ht="15" hidden="false" customHeight="false" outlineLevel="0" collapsed="false">
      <c r="A7" s="27"/>
    </row>
    <row r="8" customFormat="false" ht="15" hidden="false" customHeight="false" outlineLevel="0" collapsed="false">
      <c r="A8" s="26" t="s">
        <v>213</v>
      </c>
    </row>
    <row r="9" customFormat="false" ht="15" hidden="false" customHeight="false" outlineLevel="0" collapsed="false">
      <c r="A9" s="27" t="s">
        <v>214</v>
      </c>
    </row>
    <row r="10" customFormat="false" ht="15" hidden="false" customHeight="false" outlineLevel="0" collapsed="false">
      <c r="A10" s="27"/>
    </row>
    <row r="11" customFormat="false" ht="15" hidden="false" customHeight="false" outlineLevel="0" collapsed="false">
      <c r="A11" s="26" t="s">
        <v>215</v>
      </c>
    </row>
    <row r="12" customFormat="false" ht="15" hidden="false" customHeight="false" outlineLevel="0" collapsed="false">
      <c r="A12" s="27" t="s">
        <v>216</v>
      </c>
    </row>
    <row r="13" customFormat="false" ht="15" hidden="false" customHeight="false" outlineLevel="0" collapsed="false">
      <c r="A13" s="27" t="s">
        <v>217</v>
      </c>
    </row>
    <row r="14" customFormat="false" ht="15" hidden="false" customHeight="false" outlineLevel="0" collapsed="false">
      <c r="A14" s="27" t="s">
        <v>218</v>
      </c>
    </row>
    <row r="15" customFormat="false" ht="15" hidden="false" customHeight="false" outlineLevel="0" collapsed="false">
      <c r="A15" s="27" t="s">
        <v>219</v>
      </c>
    </row>
    <row r="16" customFormat="false" ht="15" hidden="false" customHeight="false" outlineLevel="0" collapsed="false">
      <c r="A16" s="27" t="s">
        <v>220</v>
      </c>
    </row>
    <row r="17" customFormat="false" ht="15" hidden="false" customHeight="false" outlineLevel="0" collapsed="false">
      <c r="A17" s="27"/>
    </row>
    <row r="18" customFormat="false" ht="15" hidden="false" customHeight="false" outlineLevel="0" collapsed="false">
      <c r="A18" s="27" t="s">
        <v>221</v>
      </c>
    </row>
    <row r="19" customFormat="false" ht="26.85" hidden="false" customHeight="false" outlineLevel="0" collapsed="false">
      <c r="A19" s="27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2026-10-20T09:23:51Z</dcterms:created>
  <dc:creator>openpyxl</dc:creator>
  <dc:description/>
  <dc:language>en-US</dc:language>
  <cp:lastModifiedBy/>
  <dcterms:modified xsi:type="dcterms:W3CDTF">2026-10-20T09:23:54Z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